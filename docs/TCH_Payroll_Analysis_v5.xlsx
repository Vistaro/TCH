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2" autoFilterDateGrouping="1"/>
  </bookViews>
  <sheets>
    <sheet xmlns:r="http://schemas.openxmlformats.org/officeDocument/2006/relationships" name="Caregiver Pipeline" sheetId="1" state="visible" r:id="rId1"/>
    <sheet xmlns:r="http://schemas.openxmlformats.org/officeDocument/2006/relationships" name="Client Summary" sheetId="2" state="visible" r:id="rId2"/>
    <sheet xmlns:r="http://schemas.openxmlformats.org/officeDocument/2006/relationships" name="Caregiver Summary" sheetId="3" state="visible" r:id="rId3"/>
    <sheet xmlns:r="http://schemas.openxmlformats.org/officeDocument/2006/relationships" name="Margin Summary" sheetId="4" state="visible" r:id="rId4"/>
    <sheet xmlns:r="http://schemas.openxmlformats.org/officeDocument/2006/relationships" name="Caregiver Banking Details " sheetId="5" state="visible" r:id="rId5"/>
    <sheet xmlns:r="http://schemas.openxmlformats.org/officeDocument/2006/relationships" name="Clients" sheetId="6" state="visible" r:id="rId6"/>
    <sheet xmlns:r="http://schemas.openxmlformats.org/officeDocument/2006/relationships" name="Clients Nov 2025" sheetId="7" state="visible" r:id="rId7"/>
    <sheet xmlns:r="http://schemas.openxmlformats.org/officeDocument/2006/relationships" name="Caregiver Nov 2025" sheetId="8" state="visible" r:id="rId8"/>
    <sheet xmlns:r="http://schemas.openxmlformats.org/officeDocument/2006/relationships" name="Clients Dec 2025" sheetId="9" state="visible" r:id="rId9"/>
    <sheet xmlns:r="http://schemas.openxmlformats.org/officeDocument/2006/relationships" name="Caregiver Dec 2025" sheetId="10" state="visible" r:id="rId10"/>
    <sheet xmlns:r="http://schemas.openxmlformats.org/officeDocument/2006/relationships" name="Clients Jan 2026" sheetId="11" state="visible" r:id="rId11"/>
    <sheet xmlns:r="http://schemas.openxmlformats.org/officeDocument/2006/relationships" name="Caregiver Jan 2026" sheetId="12" state="visible" r:id="rId12"/>
    <sheet xmlns:r="http://schemas.openxmlformats.org/officeDocument/2006/relationships" name="Clients Feb 2026" sheetId="13" state="visible" r:id="rId13"/>
    <sheet xmlns:r="http://schemas.openxmlformats.org/officeDocument/2006/relationships" name="Caregiver Feb 2026" sheetId="14" state="visible" r:id="rId14"/>
    <sheet xmlns:r="http://schemas.openxmlformats.org/officeDocument/2006/relationships" name="Client Mar 2026" sheetId="15" state="visible" r:id="rId15"/>
    <sheet xmlns:r="http://schemas.openxmlformats.org/officeDocument/2006/relationships" name="Sheet1" sheetId="16" state="visible" r:id="rId16"/>
    <sheet xmlns:r="http://schemas.openxmlformats.org/officeDocument/2006/relationships" name="Caregiver Mar 2026" sheetId="17" state="visible" r:id="rId17"/>
    <sheet xmlns:r="http://schemas.openxmlformats.org/officeDocument/2006/relationships" name="Client Apr 2026" sheetId="18" state="visible" r:id="rId18"/>
    <sheet xmlns:r="http://schemas.openxmlformats.org/officeDocument/2006/relationships" name="Caregiver Apr 2026" sheetId="19" state="visible" r:id="rId1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\R#,##0_);[RED]&quot;(R&quot;#,##0\)"/>
    <numFmt numFmtId="166" formatCode="\R#,##0.00"/>
    <numFmt numFmtId="167" formatCode="d\-mmm"/>
    <numFmt numFmtId="168" formatCode="YYYY-MM-DD"/>
  </numFmts>
  <fonts count="43">
    <font>
      <name val="Aptos Narrow"/>
      <charset val="1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F5496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color rgb="FF0563C1"/>
      <sz val="10"/>
      <u val="single"/>
    </font>
    <font>
      <name val="Arial"/>
      <charset val="1"/>
      <family val="0"/>
      <b val="1"/>
      <sz val="10"/>
    </font>
    <font>
      <name val="Arial"/>
      <charset val="1"/>
      <family val="0"/>
      <i val="1"/>
      <color rgb="FF808080"/>
      <sz val="9"/>
    </font>
    <font>
      <name val="Arial"/>
      <family val="2"/>
      <sz val="10"/>
    </font>
    <font>
      <name val="Arial"/>
      <charset val="1"/>
      <family val="0"/>
      <b val="1"/>
      <color rgb="FF2F5496"/>
      <sz val="12"/>
    </font>
    <font>
      <name val="Arial"/>
      <charset val="1"/>
      <family val="0"/>
      <b val="1"/>
      <color rgb="FF2F5496"/>
      <sz val="11"/>
    </font>
    <font>
      <name val="Arial"/>
      <charset val="1"/>
      <family val="0"/>
      <b val="1"/>
      <sz val="11"/>
    </font>
    <font>
      <name val="Arial"/>
      <charset val="1"/>
      <family val="0"/>
      <i val="1"/>
      <color rgb="FFFF0000"/>
      <sz val="9"/>
    </font>
    <font>
      <name val="Arial"/>
      <charset val="1"/>
      <family val="2"/>
      <b val="1"/>
      <color theme="1"/>
      <sz val="14"/>
    </font>
    <font>
      <name val="Arial"/>
      <charset val="1"/>
      <family val="2"/>
      <color theme="1"/>
      <sz val="14"/>
    </font>
    <font>
      <name val="Arial"/>
      <charset val="1"/>
      <family val="2"/>
      <color rgb="FF333333"/>
      <sz val="14"/>
    </font>
    <font>
      <name val="Arial"/>
      <charset val="1"/>
      <family val="2"/>
      <b val="1"/>
      <color theme="1"/>
      <sz val="18"/>
    </font>
    <font>
      <name val="Arial"/>
      <charset val="1"/>
      <family val="2"/>
      <b val="1"/>
      <color theme="1"/>
      <sz val="12"/>
    </font>
    <font>
      <name val="Aptos Narrow"/>
      <charset val="1"/>
      <family val="2"/>
      <b val="1"/>
      <color theme="1"/>
      <sz val="12"/>
    </font>
    <font>
      <name val="Arial"/>
      <charset val="1"/>
      <family val="2"/>
      <color theme="1"/>
      <sz val="12"/>
    </font>
    <font>
      <name val="Arial"/>
      <charset val="1"/>
      <family val="2"/>
      <b val="1"/>
      <color rgb="FF000000"/>
      <sz val="14"/>
    </font>
    <font>
      <name val="Arial"/>
      <charset val="1"/>
      <family val="2"/>
      <color rgb="FF000000"/>
      <sz val="14"/>
    </font>
    <font>
      <name val="Aptos Narrow"/>
      <charset val="1"/>
      <family val="0"/>
      <b val="1"/>
      <color theme="1"/>
      <sz val="18"/>
    </font>
    <font>
      <name val="Arial"/>
      <charset val="1"/>
      <family val="2"/>
      <b val="1"/>
      <color theme="1"/>
      <sz val="16"/>
    </font>
    <font>
      <name val="Aptos Narrow"/>
      <charset val="1"/>
      <family val="2"/>
      <b val="1"/>
      <color theme="1"/>
      <sz val="16"/>
    </font>
    <font>
      <name val="Aptos Narrow"/>
      <charset val="1"/>
      <family val="2"/>
      <b val="1"/>
      <color theme="1"/>
      <sz val="18"/>
    </font>
    <font>
      <name val="Aptos Narrow"/>
      <charset val="1"/>
      <family val="2"/>
      <color theme="1"/>
      <sz val="14"/>
    </font>
    <font>
      <name val="Arial"/>
      <charset val="1"/>
      <family val="2"/>
      <color theme="1"/>
      <sz val="16"/>
    </font>
    <font>
      <name val="Arial"/>
      <charset val="1"/>
      <family val="2"/>
      <b val="1"/>
      <color rgb="FF000000"/>
      <sz val="18"/>
    </font>
    <font>
      <name val="Aptos Narrow"/>
      <charset val="1"/>
      <family val="2"/>
      <b val="1"/>
      <color theme="1"/>
      <sz val="14"/>
    </font>
    <font>
      <name val="Aptos Narrow"/>
      <charset val="1"/>
      <family val="2"/>
      <color rgb="FF000000"/>
      <sz val="12"/>
    </font>
    <font>
      <name val="Arial"/>
      <charset val="1"/>
      <family val="2"/>
      <color rgb="FF000000"/>
      <sz val="12"/>
    </font>
    <font>
      <name val="Arial"/>
      <color rgb="00000000"/>
      <sz val="10"/>
    </font>
    <font>
      <name val="Arial"/>
      <b val="1"/>
      <color rgb="002F5496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2"/>
    </font>
    <font>
      <name val="Arial"/>
      <b val="1"/>
      <sz val="10"/>
    </font>
    <font>
      <name val="Arial"/>
      <color rgb="00999999"/>
      <sz val="10"/>
    </font>
    <font>
      <name val="Arial"/>
      <b val="1"/>
      <color rgb="00C00000"/>
      <sz val="11"/>
    </font>
    <font>
      <name val="Arial"/>
      <color rgb="00C00000"/>
      <sz val="10"/>
    </font>
  </fonts>
  <fills count="54">
    <fill>
      <patternFill/>
    </fill>
    <fill>
      <patternFill patternType="gray125"/>
    </fill>
    <fill>
      <patternFill patternType="solid">
        <fgColor rgb="FF2F5496"/>
        <bgColor rgb="FF0563C1"/>
      </patternFill>
    </fill>
    <fill>
      <patternFill patternType="solid">
        <fgColor rgb="FFE2EFDA"/>
        <bgColor rgb="FFD9F2D0"/>
      </patternFill>
    </fill>
    <fill>
      <patternFill patternType="solid">
        <fgColor rgb="FFFFF2CC"/>
        <bgColor rgb="FFFBE3D6"/>
      </patternFill>
    </fill>
    <fill>
      <patternFill patternType="solid">
        <fgColor theme="3" tint="0.8999"/>
        <bgColor rgb="FFDAE9F8"/>
      </patternFill>
    </fill>
    <fill>
      <patternFill patternType="solid">
        <fgColor rgb="FFFFFF00"/>
        <bgColor rgb="FFFFC000"/>
      </patternFill>
    </fill>
    <fill>
      <patternFill patternType="solid">
        <fgColor rgb="FFFFC6C6"/>
        <bgColor rgb="FFF6C6AD"/>
      </patternFill>
    </fill>
    <fill>
      <patternFill patternType="solid">
        <fgColor theme="5" tint="0.5999"/>
        <bgColor rgb="FFF7C7AC"/>
      </patternFill>
    </fill>
    <fill>
      <patternFill patternType="solid">
        <fgColor theme="5" tint="0.3999"/>
        <bgColor rgb="FFFF90A0"/>
      </patternFill>
    </fill>
    <fill>
      <patternFill patternType="solid">
        <fgColor theme="3" tint="0.4999"/>
        <bgColor rgb="FF63A4F7"/>
      </patternFill>
    </fill>
    <fill>
      <patternFill patternType="solid">
        <fgColor rgb="FFF7C7AC"/>
        <bgColor rgb="FFF6C6AD"/>
      </patternFill>
    </fill>
    <fill>
      <patternFill patternType="solid">
        <fgColor theme="6" tint="0.7999000000000001"/>
        <bgColor rgb="FFC1F0C8"/>
      </patternFill>
    </fill>
    <fill>
      <patternFill patternType="solid">
        <fgColor rgb="FFC1F0C8"/>
        <bgColor rgb="FFC2F1C8"/>
      </patternFill>
    </fill>
    <fill>
      <patternFill patternType="solid">
        <fgColor theme="6" tint="0.3999"/>
        <bgColor rgb="FF47D359"/>
      </patternFill>
    </fill>
    <fill>
      <patternFill patternType="solid">
        <fgColor rgb="FFDAE9F8"/>
        <bgColor rgb="FFDCEAF7"/>
      </patternFill>
    </fill>
    <fill>
      <patternFill patternType="solid">
        <fgColor rgb="FF47D359"/>
        <bgColor rgb="FF47D45A"/>
      </patternFill>
    </fill>
    <fill>
      <patternFill patternType="solid">
        <fgColor rgb="FFE6FFA2"/>
        <bgColor rgb="FFD9F2D0"/>
      </patternFill>
    </fill>
    <fill>
      <patternFill patternType="solid">
        <fgColor theme="2" tint="-0.25"/>
        <bgColor rgb="FFB4C6E7"/>
      </patternFill>
    </fill>
    <fill>
      <patternFill patternType="solid">
        <fgColor theme="0" tint="-0.15"/>
        <bgColor rgb="FFDAE9F8"/>
      </patternFill>
    </fill>
    <fill>
      <patternFill patternType="solid">
        <fgColor theme="7" tint="0.5999"/>
        <bgColor rgb="FFA6CAEC"/>
      </patternFill>
    </fill>
    <fill>
      <patternFill patternType="solid">
        <fgColor theme="8" tint="0.7999000000000001"/>
        <bgColor rgb="FFF6C3FF"/>
      </patternFill>
    </fill>
    <fill>
      <patternFill patternType="solid">
        <fgColor theme="9" tint="0.5999"/>
        <bgColor rgb="FFC1F0C8"/>
      </patternFill>
    </fill>
    <fill>
      <patternFill patternType="solid">
        <fgColor theme="5" tint="0.7999000000000001"/>
        <bgColor rgb="FFFFF2CC"/>
      </patternFill>
    </fill>
    <fill>
      <patternFill patternType="solid">
        <fgColor rgb="FFFFA6FA"/>
        <bgColor rgb="FFE4AFF5"/>
      </patternFill>
    </fill>
    <fill>
      <patternFill patternType="solid">
        <fgColor theme="7" tint="0.7999000000000001"/>
        <bgColor rgb="FFC1E5F5"/>
      </patternFill>
    </fill>
    <fill>
      <patternFill patternType="solid">
        <fgColor theme="3" tint="0.7499"/>
        <bgColor rgb="FFB4C6E7"/>
      </patternFill>
    </fill>
    <fill>
      <patternFill patternType="solid">
        <fgColor theme="4" tint="0.7999000000000001"/>
        <bgColor rgb="FFCAEEFB"/>
      </patternFill>
    </fill>
    <fill>
      <patternFill patternType="solid">
        <fgColor theme="8" tint="0.5999"/>
        <bgColor rgb="FFE4AFF5"/>
      </patternFill>
    </fill>
    <fill>
      <patternFill patternType="solid">
        <fgColor theme="9" tint="0.7999000000000001"/>
        <bgColor rgb="FFE2EFDA"/>
      </patternFill>
    </fill>
    <fill>
      <patternFill patternType="solid">
        <fgColor rgb="FFFF565A"/>
        <bgColor rgb="FFE97132"/>
      </patternFill>
    </fill>
    <fill>
      <patternFill patternType="solid">
        <fgColor theme="0" tint="-0.05"/>
        <bgColor rgb="FFE2EFDA"/>
      </patternFill>
    </fill>
    <fill>
      <patternFill patternType="solid">
        <fgColor theme="9" tint="0.3999"/>
        <bgColor rgb="FF84E291"/>
      </patternFill>
    </fill>
    <fill>
      <patternFill patternType="solid">
        <fgColor theme="6" tint="0.5999"/>
        <bgColor rgb="FF7CEB99"/>
      </patternFill>
    </fill>
    <fill>
      <patternFill patternType="solid">
        <fgColor rgb="FFFFC000"/>
        <bgColor rgb="FFF2AA84"/>
      </patternFill>
    </fill>
    <fill>
      <patternFill patternType="solid">
        <fgColor rgb="FF00B0F0"/>
        <bgColor rgb="FF4E95D9"/>
      </patternFill>
    </fill>
    <fill>
      <patternFill patternType="solid">
        <fgColor rgb="FFFF0000"/>
        <bgColor rgb="FFFF565A"/>
      </patternFill>
    </fill>
    <fill>
      <patternFill patternType="solid">
        <fgColor rgb="FF92D050"/>
        <bgColor rgb="FF8ED973"/>
      </patternFill>
    </fill>
    <fill>
      <patternFill patternType="solid">
        <fgColor rgb="FF00B050"/>
        <bgColor rgb="FF47D359"/>
      </patternFill>
    </fill>
    <fill>
      <patternFill patternType="solid">
        <fgColor theme="5"/>
        <bgColor rgb="FFFF565A"/>
      </patternFill>
    </fill>
    <fill>
      <patternFill patternType="solid">
        <fgColor rgb="FFE4AFF5"/>
        <bgColor rgb="FFE59EDD"/>
      </patternFill>
    </fill>
    <fill>
      <patternFill patternType="solid">
        <fgColor theme="8" tint="0.3999"/>
        <bgColor rgb="FFC189F7"/>
      </patternFill>
    </fill>
    <fill>
      <patternFill patternType="solid">
        <fgColor rgb="FFC189F7"/>
        <bgColor rgb="FFE59EDD"/>
      </patternFill>
    </fill>
    <fill>
      <patternFill patternType="solid">
        <fgColor theme="4" tint="0.5999"/>
        <bgColor rgb="FF96DCF8"/>
      </patternFill>
    </fill>
    <fill>
      <patternFill patternType="solid">
        <fgColor rgb="FF7CEB99"/>
        <bgColor rgb="FF84E291"/>
      </patternFill>
    </fill>
    <fill>
      <patternFill patternType="solid">
        <fgColor rgb="FF63A4F7"/>
        <bgColor rgb="FF4E95D9"/>
      </patternFill>
    </fill>
    <fill>
      <patternFill patternType="solid">
        <fgColor rgb="FFF6C3FF"/>
        <bgColor rgb="FFF2CFEE"/>
      </patternFill>
    </fill>
    <fill>
      <patternFill patternType="solid">
        <fgColor rgb="FFFF90A0"/>
        <bgColor rgb="FFF2AA84"/>
      </patternFill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C00000"/>
      </patternFill>
    </fill>
  </fills>
  <borders count="68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thin"/>
      <top style="medium"/>
      <bottom style="medium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 style="medium"/>
      <top/>
      <bottom style="medium"/>
      <diagonal/>
    </border>
    <border>
      <left style="thin"/>
      <right/>
      <top style="medium"/>
      <bottom style="medium"/>
      <diagonal/>
    </border>
    <border>
      <left style="medium"/>
      <right style="thin"/>
      <top style="medium"/>
      <bottom style="medium"/>
      <diagonal/>
    </border>
    <border>
      <left/>
      <right style="thin"/>
      <top style="thin"/>
      <bottom style="medium"/>
      <diagonal/>
    </border>
    <border>
      <left/>
      <right style="thin"/>
      <top/>
      <bottom style="medium"/>
      <diagonal/>
    </border>
    <border>
      <left style="thin"/>
      <right style="medium"/>
      <top style="medium"/>
      <bottom style="medium"/>
      <diagonal/>
    </border>
    <border>
      <left/>
      <right style="medium"/>
      <top/>
      <bottom style="medium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thin"/>
      <right/>
      <top style="medium"/>
      <bottom/>
      <diagonal/>
    </border>
    <border>
      <left style="medium"/>
      <right style="medium"/>
      <top/>
      <bottom/>
      <diagonal/>
    </border>
    <border>
      <left style="medium"/>
      <right/>
      <top/>
      <bottom/>
      <diagonal/>
    </border>
    <border>
      <left style="medium"/>
      <right style="medium"/>
      <top style="medium"/>
      <bottom style="thin"/>
      <diagonal/>
    </border>
    <border>
      <left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medium"/>
      <bottom style="thin"/>
      <diagonal/>
    </border>
    <border>
      <left style="medium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 style="medium"/>
      <right/>
      <top style="thin"/>
      <bottom/>
      <diagonal/>
    </border>
    <border>
      <left style="medium"/>
      <right/>
      <top style="medium"/>
      <bottom/>
      <diagonal/>
    </border>
    <border>
      <left/>
      <right/>
      <top style="thin"/>
      <bottom style="medium"/>
      <diagonal/>
    </border>
    <border>
      <left style="medium"/>
      <right/>
      <top style="medium"/>
      <bottom style="thin"/>
      <diagonal/>
    </border>
    <border>
      <left style="medium"/>
      <right style="medium"/>
      <top style="thin"/>
      <bottom/>
      <diagonal/>
    </border>
    <border>
      <left style="medium"/>
      <right/>
      <top/>
      <bottom style="medium"/>
      <diagonal/>
    </border>
    <border>
      <left/>
      <right style="medium"/>
      <top style="medium"/>
      <bottom/>
      <diagonal/>
    </border>
    <border>
      <left/>
      <right style="medium"/>
      <top style="medium"/>
      <bottom style="thin"/>
      <diagonal/>
    </border>
    <border>
      <left style="medium"/>
      <right style="thin"/>
      <top style="thin"/>
      <bottom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/>
      <top style="medium"/>
      <bottom/>
      <diagonal/>
    </border>
    <border>
      <left style="thin"/>
      <right/>
      <top/>
      <bottom style="thin"/>
      <diagonal/>
    </border>
    <border>
      <left style="medium"/>
      <right style="medium"/>
      <top/>
      <bottom style="thin"/>
      <diagonal/>
    </border>
    <border>
      <left/>
      <right/>
      <top/>
      <bottom style="medium"/>
      <diagonal/>
    </border>
    <border>
      <left/>
      <right/>
      <top style="thin"/>
      <bottom/>
      <diagonal/>
    </border>
    <border>
      <left style="medium"/>
      <right/>
      <top/>
      <bottom style="thin"/>
      <diagonal/>
    </border>
    <border>
      <left/>
      <right style="medium"/>
      <top/>
      <bottom style="thin"/>
      <diagonal/>
    </border>
    <border>
      <left/>
      <right/>
      <top/>
      <bottom style="thin"/>
      <diagonal/>
    </border>
    <border>
      <left/>
      <right style="thin"/>
      <top style="thin"/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thin"/>
      <top style="medium"/>
      <bottom/>
      <diagonal/>
    </border>
    <border>
      <left/>
      <right style="thin"/>
      <top style="medium"/>
      <bottom style="medium"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62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3" fontId="8" fillId="3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3" fontId="13" fillId="4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15" fillId="5" borderId="2" applyAlignment="1" pivotButton="0" quotePrefix="0" xfId="0">
      <alignment horizontal="general" vertical="bottom"/>
    </xf>
    <xf numFmtId="0" fontId="15" fillId="5" borderId="3" applyAlignment="1" pivotButton="0" quotePrefix="0" xfId="0">
      <alignment horizontal="general" vertical="bottom"/>
    </xf>
    <xf numFmtId="0" fontId="15" fillId="5" borderId="4" applyAlignment="1" pivotButton="0" quotePrefix="0" xfId="0">
      <alignment horizontal="general" vertical="bottom"/>
    </xf>
    <xf numFmtId="0" fontId="16" fillId="0" borderId="5" applyAlignment="1" pivotButton="0" quotePrefix="0" xfId="0">
      <alignment horizontal="general" vertical="bottom"/>
    </xf>
    <xf numFmtId="0" fontId="17" fillId="0" borderId="5" applyAlignment="1" pivotButton="0" quotePrefix="0" xfId="0">
      <alignment horizontal="general" vertical="bottom"/>
    </xf>
    <xf numFmtId="0" fontId="16" fillId="0" borderId="6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16" fillId="6" borderId="5" applyAlignment="1" pivotButton="0" quotePrefix="0" xfId="0">
      <alignment horizontal="general" vertical="bottom"/>
    </xf>
    <xf numFmtId="165" fontId="16" fillId="6" borderId="5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18" fillId="0" borderId="7" applyAlignment="1" pivotButton="0" quotePrefix="0" xfId="0">
      <alignment horizontal="center" vertical="bottom"/>
    </xf>
    <xf numFmtId="166" fontId="18" fillId="0" borderId="7" applyAlignment="1" pivotButton="0" quotePrefix="0" xfId="0">
      <alignment horizontal="center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6" fillId="0" borderId="8" applyAlignment="1" pivotButton="0" quotePrefix="0" xfId="0">
      <alignment horizontal="general" vertical="bottom"/>
    </xf>
    <xf numFmtId="166" fontId="16" fillId="0" borderId="8" applyAlignment="1" pivotButton="0" quotePrefix="0" xfId="0">
      <alignment horizontal="general" vertical="bottom"/>
    </xf>
    <xf numFmtId="0" fontId="16" fillId="7" borderId="5" applyAlignment="1" pivotButton="0" quotePrefix="0" xfId="0">
      <alignment horizontal="general" vertical="bottom"/>
    </xf>
    <xf numFmtId="166" fontId="16" fillId="7" borderId="5" applyAlignment="1" pivotButton="0" quotePrefix="0" xfId="0">
      <alignment horizontal="general" vertical="bottom"/>
    </xf>
    <xf numFmtId="166" fontId="16" fillId="0" borderId="5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16" fillId="8" borderId="5" applyAlignment="1" pivotButton="0" quotePrefix="0" xfId="0">
      <alignment horizontal="general" vertical="bottom"/>
    </xf>
    <xf numFmtId="0" fontId="16" fillId="9" borderId="5" applyAlignment="1" pivotButton="0" quotePrefix="0" xfId="0">
      <alignment horizontal="general" vertical="bottom"/>
    </xf>
    <xf numFmtId="0" fontId="16" fillId="10" borderId="5" applyAlignment="1" pivotButton="0" quotePrefix="0" xfId="0">
      <alignment horizontal="general" vertical="bottom"/>
    </xf>
    <xf numFmtId="166" fontId="16" fillId="10" borderId="5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bottom"/>
    </xf>
    <xf numFmtId="166" fontId="16" fillId="0" borderId="5" applyAlignment="1" pivotButton="0" quotePrefix="0" xfId="0">
      <alignment horizontal="center" vertical="bottom"/>
    </xf>
    <xf numFmtId="166" fontId="16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166" fontId="21" fillId="0" borderId="0" applyAlignment="1" pivotButton="0" quotePrefix="0" xfId="0">
      <alignment horizontal="general" vertical="bottom"/>
    </xf>
    <xf numFmtId="0" fontId="15" fillId="8" borderId="9" applyAlignment="1" pivotButton="0" quotePrefix="0" xfId="0">
      <alignment horizontal="center" vertical="bottom"/>
    </xf>
    <xf numFmtId="0" fontId="22" fillId="11" borderId="9" applyAlignment="1" pivotButton="0" quotePrefix="0" xfId="0">
      <alignment horizontal="center" vertical="bottom"/>
    </xf>
    <xf numFmtId="0" fontId="16" fillId="12" borderId="10" applyAlignment="1" pivotButton="0" quotePrefix="0" xfId="0">
      <alignment horizontal="center" vertical="bottom"/>
    </xf>
    <xf numFmtId="0" fontId="23" fillId="13" borderId="10" applyAlignment="1" pivotButton="0" quotePrefix="0" xfId="0">
      <alignment horizontal="center" vertical="bottom"/>
    </xf>
    <xf numFmtId="0" fontId="16" fillId="0" borderId="11" applyAlignment="1" pivotButton="0" quotePrefix="0" xfId="0">
      <alignment horizontal="general" vertical="bottom"/>
    </xf>
    <xf numFmtId="166" fontId="16" fillId="0" borderId="12" applyAlignment="1" pivotButton="0" quotePrefix="0" xfId="0">
      <alignment horizontal="general" vertical="bottom"/>
    </xf>
    <xf numFmtId="0" fontId="23" fillId="0" borderId="11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66" fontId="23" fillId="0" borderId="12" applyAlignment="1" pivotButton="0" quotePrefix="0" xfId="0">
      <alignment horizontal="general" vertical="bottom"/>
    </xf>
    <xf numFmtId="167" fontId="16" fillId="0" borderId="11" applyAlignment="1" pivotButton="0" quotePrefix="0" xfId="0">
      <alignment horizontal="general" vertical="bottom"/>
    </xf>
    <xf numFmtId="166" fontId="23" fillId="0" borderId="0" applyAlignment="1" pivotButton="0" quotePrefix="0" xfId="0">
      <alignment horizontal="general" vertical="bottom"/>
    </xf>
    <xf numFmtId="166" fontId="23" fillId="0" borderId="5" applyAlignment="1" pivotButton="0" quotePrefix="0" xfId="0">
      <alignment horizontal="general" vertical="bottom"/>
    </xf>
    <xf numFmtId="167" fontId="23" fillId="0" borderId="11" applyAlignment="1" pivotButton="0" quotePrefix="0" xfId="0">
      <alignment horizontal="general" vertical="bottom"/>
    </xf>
    <xf numFmtId="166" fontId="15" fillId="0" borderId="13" applyAlignment="1" pivotButton="0" quotePrefix="0" xfId="0">
      <alignment horizontal="general" vertical="bottom"/>
    </xf>
    <xf numFmtId="166" fontId="22" fillId="0" borderId="13" applyAlignment="1" pivotButton="0" quotePrefix="0" xfId="0">
      <alignment horizontal="general" vertical="bottom"/>
    </xf>
    <xf numFmtId="166" fontId="22" fillId="0" borderId="7" applyAlignment="1" pivotButton="0" quotePrefix="0" xfId="0">
      <alignment horizontal="general" vertical="bottom"/>
    </xf>
    <xf numFmtId="0" fontId="16" fillId="5" borderId="10" applyAlignment="1" pivotButton="0" quotePrefix="0" xfId="0">
      <alignment horizontal="center" vertical="bottom"/>
    </xf>
    <xf numFmtId="0" fontId="23" fillId="5" borderId="10" applyAlignment="1" pivotButton="0" quotePrefix="0" xfId="0">
      <alignment horizontal="center" vertical="bottom"/>
    </xf>
    <xf numFmtId="0" fontId="16" fillId="5" borderId="14" applyAlignment="1" pivotButton="0" quotePrefix="0" xfId="0">
      <alignment horizontal="left" vertical="bottom"/>
    </xf>
    <xf numFmtId="166" fontId="16" fillId="5" borderId="15" applyAlignment="1" pivotButton="0" quotePrefix="0" xfId="0">
      <alignment horizontal="general" vertical="bottom"/>
    </xf>
    <xf numFmtId="0" fontId="15" fillId="14" borderId="7" applyAlignment="1" pivotButton="0" quotePrefix="0" xfId="0">
      <alignment horizontal="left" vertical="bottom"/>
    </xf>
    <xf numFmtId="166" fontId="15" fillId="14" borderId="7" applyAlignment="1" pivotButton="0" quotePrefix="0" xfId="0">
      <alignment horizontal="general" vertical="bottom"/>
    </xf>
    <xf numFmtId="166" fontId="23" fillId="0" borderId="6" applyAlignment="1" pivotButton="0" quotePrefix="0" xfId="0">
      <alignment horizontal="general" vertical="bottom"/>
    </xf>
    <xf numFmtId="166" fontId="16" fillId="0" borderId="16" applyAlignment="1" pivotButton="0" quotePrefix="0" xfId="0">
      <alignment horizontal="general" vertical="bottom"/>
    </xf>
    <xf numFmtId="166" fontId="23" fillId="0" borderId="17" applyAlignment="1" pivotButton="0" quotePrefix="0" xfId="0">
      <alignment horizontal="general" vertical="bottom"/>
    </xf>
    <xf numFmtId="166" fontId="15" fillId="0" borderId="7" applyAlignment="1" pivotButton="0" quotePrefix="0" xfId="0">
      <alignment horizontal="general" vertical="bottom"/>
    </xf>
    <xf numFmtId="0" fontId="23" fillId="15" borderId="10" applyAlignment="1" pivotButton="0" quotePrefix="0" xfId="0">
      <alignment horizontal="center" vertical="bottom"/>
    </xf>
    <xf numFmtId="0" fontId="23" fillId="15" borderId="18" applyAlignment="1" pivotButton="0" quotePrefix="0" xfId="0">
      <alignment horizontal="left" vertical="bottom"/>
    </xf>
    <xf numFmtId="166" fontId="23" fillId="15" borderId="15" applyAlignment="1" pivotButton="0" quotePrefix="0" xfId="0">
      <alignment horizontal="general" vertical="bottom"/>
    </xf>
    <xf numFmtId="0" fontId="22" fillId="16" borderId="7" applyAlignment="1" pivotButton="0" quotePrefix="0" xfId="0">
      <alignment horizontal="left" vertical="bottom"/>
    </xf>
    <xf numFmtId="166" fontId="22" fillId="16" borderId="19" applyAlignment="1" pivotButton="0" quotePrefix="0" xfId="0">
      <alignment horizontal="general" vertical="bottom"/>
    </xf>
    <xf numFmtId="0" fontId="24" fillId="6" borderId="7" applyAlignment="1" pivotButton="0" quotePrefix="0" xfId="0">
      <alignment horizontal="general" vertical="bottom"/>
    </xf>
    <xf numFmtId="166" fontId="24" fillId="6" borderId="7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25" fillId="0" borderId="6" applyAlignment="1" pivotButton="0" quotePrefix="0" xfId="0">
      <alignment horizontal="general" vertical="bottom"/>
    </xf>
    <xf numFmtId="0" fontId="25" fillId="0" borderId="21" applyAlignment="1" pivotButton="0" quotePrefix="0" xfId="0">
      <alignment horizontal="general" vertical="bottom"/>
    </xf>
    <xf numFmtId="0" fontId="25" fillId="17" borderId="7" applyAlignment="1" pivotButton="0" quotePrefix="0" xfId="0">
      <alignment horizontal="general" vertical="bottom"/>
    </xf>
    <xf numFmtId="0" fontId="25" fillId="17" borderId="22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166" fontId="16" fillId="0" borderId="20" applyAlignment="1" pivotButton="0" quotePrefix="0" xfId="0">
      <alignment horizontal="general" vertical="bottom"/>
    </xf>
    <xf numFmtId="166" fontId="16" fillId="0" borderId="11" applyAlignment="1" pivotButton="0" quotePrefix="0" xfId="0">
      <alignment horizontal="general" vertical="bottom"/>
    </xf>
    <xf numFmtId="166" fontId="16" fillId="0" borderId="7" applyAlignment="1" pivotButton="0" quotePrefix="0" xfId="0">
      <alignment horizontal="general" vertical="bottom"/>
    </xf>
    <xf numFmtId="166" fontId="16" fillId="0" borderId="23" applyAlignment="1" pivotButton="0" quotePrefix="0" xfId="0">
      <alignment horizontal="general" vertical="bottom"/>
    </xf>
    <xf numFmtId="0" fontId="15" fillId="18" borderId="2" applyAlignment="1" pivotButton="0" quotePrefix="0" xfId="0">
      <alignment horizontal="general" vertical="bottom"/>
    </xf>
    <xf numFmtId="0" fontId="15" fillId="18" borderId="24" applyAlignment="1" pivotButton="0" quotePrefix="0" xfId="0">
      <alignment horizontal="general" vertical="bottom"/>
    </xf>
    <xf numFmtId="0" fontId="16" fillId="18" borderId="25" applyAlignment="1" pivotButton="0" quotePrefix="0" xfId="0">
      <alignment horizontal="general" vertical="bottom"/>
    </xf>
    <xf numFmtId="0" fontId="16" fillId="18" borderId="26" applyAlignment="1" pivotButton="0" quotePrefix="0" xfId="0">
      <alignment horizontal="general" vertical="bottom"/>
    </xf>
    <xf numFmtId="0" fontId="16" fillId="18" borderId="27" applyAlignment="1" pivotButton="0" quotePrefix="0" xfId="0">
      <alignment horizontal="general" vertical="bottom"/>
    </xf>
    <xf numFmtId="0" fontId="16" fillId="18" borderId="28" applyAlignment="1" pivotButton="0" quotePrefix="0" xfId="0">
      <alignment horizontal="general" vertical="bottom"/>
    </xf>
    <xf numFmtId="0" fontId="16" fillId="18" borderId="23" applyAlignment="1" pivotButton="0" quotePrefix="0" xfId="0">
      <alignment horizontal="general" vertical="bottom"/>
    </xf>
    <xf numFmtId="0" fontId="16" fillId="18" borderId="7" applyAlignment="1" pivotButton="0" quotePrefix="0" xfId="0">
      <alignment horizontal="general" vertical="bottom"/>
    </xf>
    <xf numFmtId="0" fontId="16" fillId="18" borderId="0" applyAlignment="1" pivotButton="0" quotePrefix="0" xfId="0">
      <alignment horizontal="general" vertical="bottom"/>
    </xf>
    <xf numFmtId="0" fontId="0" fillId="18" borderId="0" applyAlignment="1" pivotButton="0" quotePrefix="0" xfId="0">
      <alignment horizontal="general" vertical="bottom"/>
    </xf>
    <xf numFmtId="167" fontId="16" fillId="19" borderId="29" applyAlignment="1" pivotButton="0" quotePrefix="0" xfId="0">
      <alignment horizontal="general" vertical="bottom"/>
    </xf>
    <xf numFmtId="0" fontId="16" fillId="19" borderId="30" applyAlignment="1" pivotButton="0" quotePrefix="0" xfId="0">
      <alignment horizontal="general" vertical="bottom"/>
    </xf>
    <xf numFmtId="0" fontId="16" fillId="0" borderId="25" applyAlignment="1" pivotButton="0" quotePrefix="0" xfId="0">
      <alignment horizontal="general" vertical="bottom"/>
    </xf>
    <xf numFmtId="0" fontId="16" fillId="12" borderId="27" applyAlignment="1" pivotButton="0" quotePrefix="0" xfId="0">
      <alignment horizontal="general" vertical="bottom"/>
    </xf>
    <xf numFmtId="0" fontId="16" fillId="20" borderId="27" applyAlignment="1" pivotButton="0" quotePrefix="0" xfId="0">
      <alignment horizontal="general" vertical="bottom"/>
    </xf>
    <xf numFmtId="0" fontId="16" fillId="0" borderId="26" applyAlignment="1" pivotButton="0" quotePrefix="0" xfId="0">
      <alignment horizontal="general" vertical="bottom"/>
    </xf>
    <xf numFmtId="0" fontId="16" fillId="21" borderId="31" applyAlignment="1" pivotButton="0" quotePrefix="0" xfId="0">
      <alignment horizontal="general" vertical="bottom"/>
    </xf>
    <xf numFmtId="0" fontId="16" fillId="22" borderId="27" applyAlignment="1" pivotButton="0" quotePrefix="0" xfId="0">
      <alignment horizontal="general" vertical="bottom"/>
    </xf>
    <xf numFmtId="0" fontId="16" fillId="0" borderId="28" applyAlignment="1" pivotButton="0" quotePrefix="0" xfId="0">
      <alignment horizontal="general" vertical="bottom"/>
    </xf>
    <xf numFmtId="0" fontId="16" fillId="23" borderId="27" applyAlignment="1" pivotButton="0" quotePrefix="0" xfId="0">
      <alignment horizontal="general" vertical="bottom"/>
    </xf>
    <xf numFmtId="0" fontId="16" fillId="24" borderId="27" applyAlignment="1" pivotButton="0" quotePrefix="0" xfId="0">
      <alignment horizontal="general" vertical="bottom"/>
    </xf>
    <xf numFmtId="0" fontId="16" fillId="25" borderId="7" applyAlignment="1" pivotButton="0" quotePrefix="0" xfId="0">
      <alignment horizontal="general" vertical="bottom"/>
    </xf>
    <xf numFmtId="0" fontId="16" fillId="23" borderId="32" applyAlignment="1" pivotButton="0" quotePrefix="0" xfId="0">
      <alignment horizontal="general" vertical="bottom"/>
    </xf>
    <xf numFmtId="167" fontId="16" fillId="19" borderId="33" applyAlignment="1" pivotButton="0" quotePrefix="0" xfId="0">
      <alignment horizontal="general" vertical="bottom"/>
    </xf>
    <xf numFmtId="0" fontId="16" fillId="19" borderId="34" applyAlignment="1" pivotButton="0" quotePrefix="0" xfId="0">
      <alignment horizontal="general" vertical="bottom"/>
    </xf>
    <xf numFmtId="0" fontId="16" fillId="12" borderId="32" applyAlignment="1" pivotButton="0" quotePrefix="0" xfId="0">
      <alignment horizontal="general" vertical="bottom"/>
    </xf>
    <xf numFmtId="0" fontId="16" fillId="20" borderId="31" applyAlignment="1" pivotButton="0" quotePrefix="0" xfId="0">
      <alignment horizontal="general" vertical="bottom"/>
    </xf>
    <xf numFmtId="0" fontId="16" fillId="22" borderId="31" applyAlignment="1" pivotButton="0" quotePrefix="0" xfId="0">
      <alignment horizontal="general" vertical="bottom"/>
    </xf>
    <xf numFmtId="0" fontId="16" fillId="24" borderId="31" applyAlignment="1" pivotButton="0" quotePrefix="0" xfId="0">
      <alignment horizontal="general" vertical="bottom"/>
    </xf>
    <xf numFmtId="0" fontId="16" fillId="26" borderId="35" applyAlignment="1" pivotButton="0" quotePrefix="0" xfId="0">
      <alignment horizontal="general" vertical="bottom"/>
    </xf>
    <xf numFmtId="0" fontId="16" fillId="24" borderId="36" applyAlignment="1" pivotButton="0" quotePrefix="0" xfId="0">
      <alignment horizontal="general" vertical="bottom"/>
    </xf>
    <xf numFmtId="0" fontId="16" fillId="8" borderId="27" applyAlignment="1" pivotButton="0" quotePrefix="0" xfId="0">
      <alignment horizontal="general" vertical="bottom"/>
    </xf>
    <xf numFmtId="0" fontId="16" fillId="25" borderId="27" applyAlignment="1" pivotButton="0" quotePrefix="0" xfId="0">
      <alignment horizontal="general" vertical="bottom"/>
    </xf>
    <xf numFmtId="0" fontId="16" fillId="23" borderId="31" applyAlignment="1" pivotButton="0" quotePrefix="0" xfId="0">
      <alignment horizontal="general" vertical="bottom"/>
    </xf>
    <xf numFmtId="0" fontId="16" fillId="12" borderId="31" applyAlignment="1" pivotButton="0" quotePrefix="0" xfId="0">
      <alignment horizontal="general" vertical="bottom"/>
    </xf>
    <xf numFmtId="0" fontId="16" fillId="20" borderId="32" applyAlignment="1" pivotButton="0" quotePrefix="0" xfId="0">
      <alignment horizontal="general" vertical="bottom"/>
    </xf>
    <xf numFmtId="0" fontId="16" fillId="26" borderId="37" applyAlignment="1" pivotButton="0" quotePrefix="0" xfId="0">
      <alignment horizontal="general" vertical="bottom"/>
    </xf>
    <xf numFmtId="0" fontId="16" fillId="8" borderId="31" applyAlignment="1" pivotButton="0" quotePrefix="0" xfId="0">
      <alignment horizontal="general" vertical="bottom"/>
    </xf>
    <xf numFmtId="0" fontId="16" fillId="25" borderId="31" applyAlignment="1" pivotButton="0" quotePrefix="0" xfId="0">
      <alignment horizontal="general" vertical="bottom"/>
    </xf>
    <xf numFmtId="0" fontId="16" fillId="27" borderId="27" applyAlignment="1" pivotButton="0" quotePrefix="0" xfId="0">
      <alignment horizontal="general" vertical="bottom"/>
    </xf>
    <xf numFmtId="0" fontId="16" fillId="12" borderId="38" applyAlignment="1" pivotButton="0" quotePrefix="0" xfId="0">
      <alignment horizontal="general" vertical="bottom"/>
    </xf>
    <xf numFmtId="0" fontId="16" fillId="23" borderId="39" applyAlignment="1" pivotButton="0" quotePrefix="0" xfId="0">
      <alignment horizontal="general" vertical="bottom"/>
    </xf>
    <xf numFmtId="0" fontId="16" fillId="28" borderId="27" applyAlignment="1" pivotButton="0" quotePrefix="0" xfId="0">
      <alignment horizontal="general" vertical="bottom"/>
    </xf>
    <xf numFmtId="0" fontId="16" fillId="27" borderId="38" applyAlignment="1" pivotButton="0" quotePrefix="0" xfId="0">
      <alignment horizontal="general" vertical="bottom"/>
    </xf>
    <xf numFmtId="0" fontId="16" fillId="12" borderId="40" applyAlignment="1" pivotButton="0" quotePrefix="0" xfId="0">
      <alignment horizontal="general" vertical="bottom"/>
    </xf>
    <xf numFmtId="0" fontId="16" fillId="24" borderId="41" applyAlignment="1" pivotButton="0" quotePrefix="0" xfId="0">
      <alignment horizontal="general" vertical="bottom"/>
    </xf>
    <xf numFmtId="0" fontId="0" fillId="0" borderId="42" applyAlignment="1" pivotButton="0" quotePrefix="0" xfId="0">
      <alignment horizontal="general" vertical="bottom"/>
    </xf>
    <xf numFmtId="0" fontId="16" fillId="28" borderId="31" applyAlignment="1" pivotButton="0" quotePrefix="0" xfId="0">
      <alignment horizontal="general" vertical="bottom"/>
    </xf>
    <xf numFmtId="0" fontId="16" fillId="26" borderId="43" applyAlignment="1" pivotButton="0" quotePrefix="0" xfId="0">
      <alignment horizontal="general" vertical="bottom"/>
    </xf>
    <xf numFmtId="0" fontId="16" fillId="5" borderId="44" applyAlignment="1" pivotButton="0" quotePrefix="0" xfId="0">
      <alignment horizontal="general" vertical="bottom"/>
    </xf>
    <xf numFmtId="0" fontId="16" fillId="8" borderId="32" applyAlignment="1" pivotButton="0" quotePrefix="0" xfId="0">
      <alignment horizontal="general" vertical="bottom"/>
    </xf>
    <xf numFmtId="0" fontId="16" fillId="25" borderId="32" applyAlignment="1" pivotButton="0" quotePrefix="0" xfId="0">
      <alignment horizontal="general" vertical="bottom"/>
    </xf>
    <xf numFmtId="0" fontId="16" fillId="22" borderId="45" applyAlignment="1" pivotButton="0" quotePrefix="0" xfId="0">
      <alignment horizontal="general" vertical="bottom"/>
    </xf>
    <xf numFmtId="0" fontId="16" fillId="5" borderId="31" applyAlignment="1" pivotButton="0" quotePrefix="0" xfId="0">
      <alignment horizontal="general" vertical="bottom"/>
    </xf>
    <xf numFmtId="0" fontId="16" fillId="0" borderId="46" applyAlignment="1" pivotButton="0" quotePrefix="0" xfId="0">
      <alignment horizontal="general" vertical="bottom"/>
    </xf>
    <xf numFmtId="0" fontId="16" fillId="27" borderId="40" applyAlignment="1" pivotButton="0" quotePrefix="0" xfId="0">
      <alignment horizontal="general" vertical="bottom"/>
    </xf>
    <xf numFmtId="0" fontId="16" fillId="0" borderId="23" applyAlignment="1" pivotButton="0" quotePrefix="0" xfId="0">
      <alignment horizontal="general" vertical="bottom"/>
    </xf>
    <xf numFmtId="0" fontId="16" fillId="23" borderId="44" applyAlignment="1" pivotButton="0" quotePrefix="0" xfId="0">
      <alignment horizontal="general" vertical="bottom"/>
    </xf>
    <xf numFmtId="0" fontId="16" fillId="0" borderId="47" applyAlignment="1" pivotButton="0" quotePrefix="0" xfId="0">
      <alignment horizontal="general" vertical="bottom"/>
    </xf>
    <xf numFmtId="0" fontId="16" fillId="23" borderId="36" applyAlignment="1" pivotButton="0" quotePrefix="0" xfId="0">
      <alignment horizontal="general" vertical="bottom"/>
    </xf>
    <xf numFmtId="0" fontId="16" fillId="5" borderId="32" applyAlignment="1" pivotButton="0" quotePrefix="0" xfId="0">
      <alignment horizontal="general" vertical="bottom"/>
    </xf>
    <xf numFmtId="0" fontId="16" fillId="20" borderId="38" applyAlignment="1" pivotButton="0" quotePrefix="0" xfId="0">
      <alignment horizontal="general" vertical="bottom"/>
    </xf>
    <xf numFmtId="0" fontId="16" fillId="5" borderId="27" applyAlignment="1" pivotButton="0" quotePrefix="0" xfId="0">
      <alignment horizontal="general" vertical="bottom"/>
    </xf>
    <xf numFmtId="0" fontId="16" fillId="22" borderId="32" applyAlignment="1" pivotButton="0" quotePrefix="0" xfId="0">
      <alignment horizontal="general" vertical="bottom"/>
    </xf>
    <xf numFmtId="0" fontId="16" fillId="0" borderId="38" applyAlignment="1" pivotButton="0" quotePrefix="0" xfId="0">
      <alignment horizontal="general" vertical="bottom"/>
    </xf>
    <xf numFmtId="0" fontId="16" fillId="29" borderId="7" applyAlignment="1" pivotButton="0" quotePrefix="0" xfId="0">
      <alignment horizontal="general" vertical="bottom"/>
    </xf>
    <xf numFmtId="0" fontId="16" fillId="23" borderId="23" applyAlignment="1" pivotButton="0" quotePrefix="0" xfId="0">
      <alignment horizontal="general" vertical="bottom"/>
    </xf>
    <xf numFmtId="0" fontId="16" fillId="20" borderId="40" applyAlignment="1" pivotButton="0" quotePrefix="0" xfId="0">
      <alignment horizontal="general" vertical="bottom"/>
    </xf>
    <xf numFmtId="0" fontId="16" fillId="26" borderId="27" applyAlignment="1" pivotButton="0" quotePrefix="0" xfId="0">
      <alignment horizontal="general" vertical="bottom"/>
    </xf>
    <xf numFmtId="0" fontId="16" fillId="12" borderId="36" applyAlignment="1" pivotButton="0" quotePrefix="0" xfId="0">
      <alignment horizontal="general" vertical="bottom"/>
    </xf>
    <xf numFmtId="0" fontId="16" fillId="0" borderId="27" applyAlignment="1" pivotButton="0" quotePrefix="0" xfId="0">
      <alignment horizontal="general" vertical="bottom"/>
    </xf>
    <xf numFmtId="0" fontId="16" fillId="26" borderId="31" applyAlignment="1" pivotButton="0" quotePrefix="0" xfId="0">
      <alignment horizontal="general" vertical="bottom"/>
    </xf>
    <xf numFmtId="0" fontId="16" fillId="0" borderId="31" applyAlignment="1" pivotButton="0" quotePrefix="0" xfId="0">
      <alignment horizontal="general" vertical="bottom"/>
    </xf>
    <xf numFmtId="0" fontId="16" fillId="20" borderId="48" applyAlignment="1" pivotButton="0" quotePrefix="0" xfId="0">
      <alignment horizontal="general" vertical="bottom"/>
    </xf>
    <xf numFmtId="0" fontId="16" fillId="26" borderId="32" applyAlignment="1" pivotButton="0" quotePrefix="0" xfId="0">
      <alignment horizontal="general" vertical="bottom"/>
    </xf>
    <xf numFmtId="0" fontId="16" fillId="5" borderId="48" applyAlignment="1" pivotButton="0" quotePrefix="0" xfId="0">
      <alignment horizontal="general" vertical="bottom"/>
    </xf>
    <xf numFmtId="0" fontId="16" fillId="8" borderId="48" applyAlignment="1" pivotButton="0" quotePrefix="0" xfId="0">
      <alignment horizontal="general" vertical="bottom"/>
    </xf>
    <xf numFmtId="0" fontId="16" fillId="5" borderId="38" applyAlignment="1" pivotButton="0" quotePrefix="0" xfId="0">
      <alignment horizontal="general" vertical="bottom"/>
    </xf>
    <xf numFmtId="0" fontId="16" fillId="8" borderId="38" applyAlignment="1" pivotButton="0" quotePrefix="0" xfId="0">
      <alignment horizontal="general" vertical="bottom"/>
    </xf>
    <xf numFmtId="0" fontId="16" fillId="0" borderId="45" applyAlignment="1" pivotButton="0" quotePrefix="0" xfId="0">
      <alignment horizontal="general" vertical="bottom"/>
    </xf>
    <xf numFmtId="0" fontId="16" fillId="0" borderId="32" applyAlignment="1" pivotButton="0" quotePrefix="0" xfId="0">
      <alignment horizontal="general" vertical="bottom"/>
    </xf>
    <xf numFmtId="167" fontId="16" fillId="19" borderId="49" applyAlignment="1" pivotButton="0" quotePrefix="0" xfId="0">
      <alignment horizontal="general" vertical="bottom"/>
    </xf>
    <xf numFmtId="0" fontId="16" fillId="19" borderId="21" applyAlignment="1" pivotButton="0" quotePrefix="0" xfId="0">
      <alignment horizontal="general" vertical="bottom"/>
    </xf>
    <xf numFmtId="0" fontId="16" fillId="28" borderId="32" applyAlignment="1" pivotButton="0" quotePrefix="0" xfId="0">
      <alignment horizontal="general" vertical="bottom"/>
    </xf>
    <xf numFmtId="0" fontId="16" fillId="23" borderId="41" applyAlignment="1" pivotButton="0" quotePrefix="0" xfId="0">
      <alignment horizontal="general" vertical="bottom"/>
    </xf>
    <xf numFmtId="0" fontId="16" fillId="0" borderId="13" applyAlignment="1" pivotButton="0" quotePrefix="0" xfId="0">
      <alignment horizontal="general" vertical="bottom"/>
    </xf>
    <xf numFmtId="0" fontId="16" fillId="12" borderId="41" applyAlignment="1" pivotButton="0" quotePrefix="0" xfId="0">
      <alignment horizontal="general" vertical="bottom"/>
    </xf>
    <xf numFmtId="0" fontId="15" fillId="0" borderId="15" applyAlignment="1" pivotButton="0" quotePrefix="0" xfId="0">
      <alignment horizontal="general" vertical="bottom"/>
    </xf>
    <xf numFmtId="0" fontId="15" fillId="0" borderId="14" applyAlignment="1" pivotButton="0" quotePrefix="0" xfId="0">
      <alignment horizontal="general" vertical="bottom"/>
    </xf>
    <xf numFmtId="0" fontId="15" fillId="26" borderId="7" applyAlignment="1" pivotButton="0" quotePrefix="0" xfId="0">
      <alignment horizontal="general" vertical="bottom"/>
    </xf>
    <xf numFmtId="0" fontId="15" fillId="26" borderId="13" applyAlignment="1" pivotButton="0" quotePrefix="0" xfId="0">
      <alignment horizontal="general" vertical="bottom"/>
    </xf>
    <xf numFmtId="0" fontId="15" fillId="0" borderId="7" applyAlignment="1" pivotButton="0" quotePrefix="0" xfId="0">
      <alignment horizontal="general" vertical="bottom"/>
    </xf>
    <xf numFmtId="0" fontId="15" fillId="12" borderId="13" applyAlignment="1" pivotButton="0" quotePrefix="0" xfId="0">
      <alignment horizontal="general" vertical="bottom"/>
    </xf>
    <xf numFmtId="0" fontId="15" fillId="12" borderId="7" applyAlignment="1" pivotButton="0" quotePrefix="0" xfId="0">
      <alignment horizontal="general" vertical="bottom"/>
    </xf>
    <xf numFmtId="0" fontId="15" fillId="0" borderId="13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7" applyAlignment="1" pivotButton="0" quotePrefix="0" xfId="0">
      <alignment horizontal="general" vertical="bottom"/>
    </xf>
    <xf numFmtId="165" fontId="16" fillId="0" borderId="7" applyAlignment="1" pivotButton="0" quotePrefix="0" xfId="0">
      <alignment horizontal="general" vertical="bottom"/>
    </xf>
    <xf numFmtId="166" fontId="18" fillId="30" borderId="50" applyAlignment="1" pivotButton="0" quotePrefix="0" xfId="0">
      <alignment horizontal="general" vertical="bottom"/>
    </xf>
    <xf numFmtId="166" fontId="18" fillId="30" borderId="7" applyAlignment="1" pivotButton="0" quotePrefix="0" xfId="0">
      <alignment horizontal="general" vertical="bottom"/>
    </xf>
    <xf numFmtId="0" fontId="18" fillId="30" borderId="7" applyAlignment="1" pivotButton="0" quotePrefix="0" xfId="0">
      <alignment horizontal="general" vertical="bottom"/>
    </xf>
    <xf numFmtId="166" fontId="18" fillId="30" borderId="51" applyAlignment="1" pivotButton="0" quotePrefix="0" xfId="0">
      <alignment horizontal="general" vertical="bottom"/>
    </xf>
    <xf numFmtId="166" fontId="27" fillId="30" borderId="51" applyAlignment="1" pivotButton="0" quotePrefix="0" xfId="0">
      <alignment horizontal="general" vertical="bottom"/>
    </xf>
    <xf numFmtId="0" fontId="16" fillId="0" borderId="20" applyAlignment="1" pivotButton="0" quotePrefix="0" xfId="0">
      <alignment horizontal="general" vertical="bottom"/>
    </xf>
    <xf numFmtId="0" fontId="16" fillId="0" borderId="12" applyAlignment="1" pivotButton="0" quotePrefix="0" xfId="0">
      <alignment horizontal="general" vertical="bottom"/>
    </xf>
    <xf numFmtId="166" fontId="23" fillId="0" borderId="0" applyAlignment="1" pivotButton="0" quotePrefix="0" xfId="0">
      <alignment horizontal="center" vertical="bottom"/>
    </xf>
    <xf numFmtId="0" fontId="22" fillId="0" borderId="0" applyAlignment="1" pivotButton="0" quotePrefix="0" xfId="0">
      <alignment horizontal="left" vertical="bottom"/>
    </xf>
    <xf numFmtId="166" fontId="22" fillId="0" borderId="0" applyAlignment="1" pivotButton="0" quotePrefix="0" xfId="0">
      <alignment horizontal="general" vertical="bottom"/>
    </xf>
    <xf numFmtId="0" fontId="22" fillId="0" borderId="42" applyAlignment="1" pivotButton="0" quotePrefix="0" xfId="0">
      <alignment horizontal="general" vertical="bottom"/>
    </xf>
    <xf numFmtId="0" fontId="22" fillId="0" borderId="52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2" fillId="16" borderId="7" applyAlignment="1" pivotButton="0" quotePrefix="0" xfId="0">
      <alignment horizontal="general" vertical="bottom"/>
    </xf>
    <xf numFmtId="166" fontId="22" fillId="16" borderId="22" applyAlignment="1" pivotButton="0" quotePrefix="0" xfId="0">
      <alignment horizontal="general" vertical="bottom"/>
    </xf>
    <xf numFmtId="166" fontId="16" fillId="0" borderId="42" applyAlignment="1" pivotButton="0" quotePrefix="0" xfId="0">
      <alignment horizontal="general" vertical="bottom"/>
    </xf>
    <xf numFmtId="166" fontId="28" fillId="0" borderId="0" applyAlignment="1" pivotButton="0" quotePrefix="0" xfId="0">
      <alignment horizontal="general" vertical="bottom"/>
    </xf>
    <xf numFmtId="0" fontId="25" fillId="18" borderId="15" applyAlignment="1" pivotButton="0" quotePrefix="0" xfId="0">
      <alignment horizontal="general" vertical="bottom"/>
    </xf>
    <xf numFmtId="0" fontId="25" fillId="18" borderId="18" applyAlignment="1" pivotButton="0" quotePrefix="0" xfId="0">
      <alignment horizontal="general" vertical="bottom"/>
    </xf>
    <xf numFmtId="0" fontId="16" fillId="18" borderId="42" applyAlignment="1" pivotButton="0" quotePrefix="0" xfId="0">
      <alignment horizontal="general" vertical="bottom"/>
    </xf>
    <xf numFmtId="0" fontId="16" fillId="18" borderId="52" applyAlignment="1" pivotButton="0" quotePrefix="0" xfId="0">
      <alignment horizontal="general" vertical="bottom"/>
    </xf>
    <xf numFmtId="0" fontId="21" fillId="18" borderId="7" applyAlignment="1" pivotButton="0" quotePrefix="0" xfId="0">
      <alignment horizontal="general" vertical="bottom"/>
    </xf>
    <xf numFmtId="167" fontId="29" fillId="31" borderId="8" applyAlignment="1" pivotButton="0" quotePrefix="0" xfId="0">
      <alignment horizontal="general" vertical="bottom"/>
    </xf>
    <xf numFmtId="0" fontId="29" fillId="31" borderId="53" applyAlignment="1" pivotButton="0" quotePrefix="0" xfId="0">
      <alignment horizontal="general" vertical="bottom"/>
    </xf>
    <xf numFmtId="0" fontId="16" fillId="32" borderId="44" applyAlignment="1" pivotButton="0" quotePrefix="0" xfId="0">
      <alignment horizontal="general" vertical="bottom"/>
    </xf>
    <xf numFmtId="0" fontId="16" fillId="12" borderId="48" applyAlignment="1" pivotButton="0" quotePrefix="0" xfId="0">
      <alignment horizontal="general" vertical="bottom"/>
    </xf>
    <xf numFmtId="0" fontId="16" fillId="8" borderId="22" applyAlignment="1" pivotButton="0" quotePrefix="0" xfId="0">
      <alignment horizontal="general" vertical="bottom"/>
    </xf>
    <xf numFmtId="0" fontId="16" fillId="21" borderId="27" applyAlignment="1" pivotButton="0" quotePrefix="0" xfId="0">
      <alignment horizontal="general" vertical="bottom"/>
    </xf>
    <xf numFmtId="0" fontId="16" fillId="27" borderId="7" applyAlignment="1" pivotButton="0" quotePrefix="0" xfId="0">
      <alignment horizontal="general" vertical="bottom"/>
    </xf>
    <xf numFmtId="0" fontId="16" fillId="29" borderId="50" applyAlignment="1" pivotButton="0" quotePrefix="0" xfId="0">
      <alignment horizontal="general" vertical="bottom"/>
    </xf>
    <xf numFmtId="0" fontId="21" fillId="0" borderId="26" applyAlignment="1" pivotButton="0" quotePrefix="0" xfId="0">
      <alignment horizontal="general" vertical="bottom"/>
    </xf>
    <xf numFmtId="0" fontId="21" fillId="0" borderId="23" applyAlignment="1" pivotButton="0" quotePrefix="0" xfId="0">
      <alignment horizontal="general" vertical="bottom"/>
    </xf>
    <xf numFmtId="167" fontId="29" fillId="31" borderId="5" applyAlignment="1" pivotButton="0" quotePrefix="0" xfId="0">
      <alignment horizontal="general" vertical="bottom"/>
    </xf>
    <xf numFmtId="0" fontId="29" fillId="31" borderId="34" applyAlignment="1" pivotButton="0" quotePrefix="0" xfId="0">
      <alignment horizontal="general" vertical="bottom"/>
    </xf>
    <xf numFmtId="0" fontId="16" fillId="32" borderId="36" applyAlignment="1" pivotButton="0" quotePrefix="0" xfId="0">
      <alignment horizontal="general" vertical="bottom"/>
    </xf>
    <xf numFmtId="0" fontId="16" fillId="23" borderId="38" applyAlignment="1" pivotButton="0" quotePrefix="0" xfId="0">
      <alignment horizontal="general" vertical="bottom"/>
    </xf>
    <xf numFmtId="0" fontId="21" fillId="0" borderId="25" applyAlignment="1" pivotButton="0" quotePrefix="0" xfId="0">
      <alignment horizontal="general" vertical="bottom"/>
    </xf>
    <xf numFmtId="0" fontId="16" fillId="27" borderId="31" applyAlignment="1" pivotButton="0" quotePrefix="0" xfId="0">
      <alignment horizontal="general" vertical="bottom"/>
    </xf>
    <xf numFmtId="0" fontId="16" fillId="32" borderId="39" applyAlignment="1" pivotButton="0" quotePrefix="0" xfId="0">
      <alignment horizontal="general" vertical="bottom"/>
    </xf>
    <xf numFmtId="0" fontId="16" fillId="12" borderId="7" applyAlignment="1" pivotButton="0" quotePrefix="0" xfId="0">
      <alignment horizontal="general" vertical="bottom"/>
    </xf>
    <xf numFmtId="0" fontId="16" fillId="21" borderId="32" applyAlignment="1" pivotButton="0" quotePrefix="0" xfId="0">
      <alignment horizontal="general" vertical="bottom"/>
    </xf>
    <xf numFmtId="0" fontId="16" fillId="23" borderId="40" applyAlignment="1" pivotButton="0" quotePrefix="0" xfId="0">
      <alignment horizontal="general" vertical="bottom"/>
    </xf>
    <xf numFmtId="0" fontId="0" fillId="0" borderId="26" applyAlignment="1" pivotButton="0" quotePrefix="0" xfId="0">
      <alignment horizontal="general" vertical="bottom"/>
    </xf>
    <xf numFmtId="0" fontId="16" fillId="23" borderId="48" applyAlignment="1" pivotButton="0" quotePrefix="0" xfId="0">
      <alignment horizontal="general" vertical="bottom"/>
    </xf>
    <xf numFmtId="0" fontId="16" fillId="23" borderId="37" applyAlignment="1" pivotButton="0" quotePrefix="0" xfId="0">
      <alignment horizontal="general" vertical="bottom"/>
    </xf>
    <xf numFmtId="0" fontId="16" fillId="28" borderId="38" applyAlignment="1" pivotButton="0" quotePrefix="0" xfId="0">
      <alignment horizontal="general" vertical="bottom"/>
    </xf>
    <xf numFmtId="0" fontId="16" fillId="27" borderId="32" applyAlignment="1" pivotButton="0" quotePrefix="0" xfId="0">
      <alignment horizontal="general" vertical="bottom"/>
    </xf>
    <xf numFmtId="0" fontId="16" fillId="21" borderId="39" applyAlignment="1" pivotButton="0" quotePrefix="0" xfId="0">
      <alignment horizontal="general" vertical="bottom"/>
    </xf>
    <xf numFmtId="0" fontId="16" fillId="28" borderId="36" applyAlignment="1" pivotButton="0" quotePrefix="0" xfId="0">
      <alignment horizontal="general" vertical="bottom"/>
    </xf>
    <xf numFmtId="0" fontId="16" fillId="33" borderId="27" applyAlignment="1" pivotButton="0" quotePrefix="0" xfId="0">
      <alignment horizontal="general" vertical="bottom"/>
    </xf>
    <xf numFmtId="0" fontId="16" fillId="27" borderId="48" applyAlignment="1" pivotButton="0" quotePrefix="0" xfId="0">
      <alignment horizontal="general" vertical="bottom"/>
    </xf>
    <xf numFmtId="0" fontId="16" fillId="5" borderId="36" applyAlignment="1" pivotButton="0" quotePrefix="0" xfId="0">
      <alignment horizontal="general" vertical="bottom"/>
    </xf>
    <xf numFmtId="0" fontId="16" fillId="28" borderId="39" applyAlignment="1" pivotButton="0" quotePrefix="0" xfId="0">
      <alignment horizontal="general" vertical="bottom"/>
    </xf>
    <xf numFmtId="0" fontId="16" fillId="33" borderId="31" applyAlignment="1" pivotButton="0" quotePrefix="0" xfId="0">
      <alignment horizontal="general" vertical="bottom"/>
    </xf>
    <xf numFmtId="0" fontId="16" fillId="27" borderId="37" applyAlignment="1" pivotButton="0" quotePrefix="0" xfId="0">
      <alignment horizontal="general" vertical="bottom"/>
    </xf>
    <xf numFmtId="0" fontId="16" fillId="29" borderId="44" applyAlignment="1" pivotButton="0" quotePrefix="0" xfId="0">
      <alignment horizontal="general" vertical="bottom"/>
    </xf>
    <xf numFmtId="0" fontId="16" fillId="32" borderId="32" applyAlignment="1" pivotButton="0" quotePrefix="0" xfId="0">
      <alignment horizontal="general" vertical="bottom"/>
    </xf>
    <xf numFmtId="0" fontId="16" fillId="0" borderId="42" applyAlignment="1" pivotButton="0" quotePrefix="0" xfId="0">
      <alignment horizontal="general" vertical="bottom"/>
    </xf>
    <xf numFmtId="0" fontId="16" fillId="28" borderId="40" applyAlignment="1" pivotButton="0" quotePrefix="0" xfId="0">
      <alignment horizontal="general" vertical="bottom"/>
    </xf>
    <xf numFmtId="0" fontId="16" fillId="27" borderId="43" applyAlignment="1" pivotButton="0" quotePrefix="0" xfId="0">
      <alignment horizontal="general" vertical="bottom"/>
    </xf>
    <xf numFmtId="0" fontId="16" fillId="29" borderId="41" applyAlignment="1" pivotButton="0" quotePrefix="0" xfId="0">
      <alignment horizontal="general" vertical="bottom"/>
    </xf>
    <xf numFmtId="0" fontId="16" fillId="27" borderId="35" applyAlignment="1" pivotButton="0" quotePrefix="0" xfId="0">
      <alignment horizontal="general" vertical="bottom"/>
    </xf>
    <xf numFmtId="0" fontId="16" fillId="21" borderId="7" applyAlignment="1" pivotButton="0" quotePrefix="0" xfId="0">
      <alignment horizontal="general" vertical="bottom"/>
    </xf>
    <xf numFmtId="0" fontId="16" fillId="5" borderId="41" applyAlignment="1" pivotButton="0" quotePrefix="0" xfId="0">
      <alignment horizontal="general" vertical="bottom"/>
    </xf>
    <xf numFmtId="0" fontId="16" fillId="33" borderId="38" applyAlignment="1" pivotButton="0" quotePrefix="0" xfId="0">
      <alignment horizontal="general" vertical="bottom"/>
    </xf>
    <xf numFmtId="0" fontId="16" fillId="33" borderId="40" applyAlignment="1" pivotButton="0" quotePrefix="0" xfId="0">
      <alignment horizontal="general" vertical="bottom"/>
    </xf>
    <xf numFmtId="0" fontId="16" fillId="23" borderId="0" applyAlignment="1" pivotButton="0" quotePrefix="0" xfId="0">
      <alignment horizontal="general" vertical="bottom"/>
    </xf>
    <xf numFmtId="0" fontId="16" fillId="21" borderId="48" applyAlignment="1" pivotButton="0" quotePrefix="0" xfId="0">
      <alignment horizontal="general" vertical="bottom"/>
    </xf>
    <xf numFmtId="0" fontId="16" fillId="21" borderId="38" applyAlignment="1" pivotButton="0" quotePrefix="0" xfId="0">
      <alignment horizontal="general" vertical="bottom"/>
    </xf>
    <xf numFmtId="0" fontId="16" fillId="28" borderId="48" applyAlignment="1" pivotButton="0" quotePrefix="0" xfId="0">
      <alignment horizontal="general" vertical="bottom"/>
    </xf>
    <xf numFmtId="0" fontId="16" fillId="27" borderId="54" applyAlignment="1" pivotButton="0" quotePrefix="0" xfId="0">
      <alignment horizontal="general" vertical="bottom"/>
    </xf>
    <xf numFmtId="0" fontId="16" fillId="27" borderId="39" applyAlignment="1" pivotButton="0" quotePrefix="0" xfId="0">
      <alignment horizontal="general" vertical="bottom"/>
    </xf>
    <xf numFmtId="0" fontId="16" fillId="25" borderId="45" applyAlignment="1" pivotButton="0" quotePrefix="0" xfId="0">
      <alignment horizontal="general" vertical="bottom"/>
    </xf>
    <xf numFmtId="0" fontId="16" fillId="27" borderId="44" applyAlignment="1" pivotButton="0" quotePrefix="0" xfId="0">
      <alignment horizontal="general" vertical="bottom"/>
    </xf>
    <xf numFmtId="0" fontId="16" fillId="21" borderId="40" applyAlignment="1" pivotButton="0" quotePrefix="0" xfId="0">
      <alignment horizontal="general" vertical="bottom"/>
    </xf>
    <xf numFmtId="0" fontId="16" fillId="27" borderId="36" applyAlignment="1" pivotButton="0" quotePrefix="0" xfId="0">
      <alignment horizontal="general" vertical="bottom"/>
    </xf>
    <xf numFmtId="0" fontId="16" fillId="0" borderId="44" applyAlignment="1" pivotButton="0" quotePrefix="0" xfId="0">
      <alignment horizontal="general" vertical="bottom"/>
    </xf>
    <xf numFmtId="0" fontId="16" fillId="21" borderId="35" applyAlignment="1" pivotButton="0" quotePrefix="0" xfId="0">
      <alignment horizontal="general" vertical="bottom"/>
    </xf>
    <xf numFmtId="0" fontId="16" fillId="0" borderId="55" applyAlignment="1" pivotButton="0" quotePrefix="0" xfId="0">
      <alignment horizontal="general" vertical="bottom"/>
    </xf>
    <xf numFmtId="0" fontId="16" fillId="21" borderId="37" applyAlignment="1" pivotButton="0" quotePrefix="0" xfId="0">
      <alignment horizontal="general" vertical="bottom"/>
    </xf>
    <xf numFmtId="0" fontId="16" fillId="22" borderId="7" applyAlignment="1" pivotButton="0" quotePrefix="0" xfId="0">
      <alignment horizontal="general" vertical="bottom"/>
    </xf>
    <xf numFmtId="0" fontId="16" fillId="0" borderId="19" applyAlignment="1" pivotButton="0" quotePrefix="0" xfId="0">
      <alignment horizontal="general" vertical="bottom"/>
    </xf>
    <xf numFmtId="0" fontId="16" fillId="21" borderId="43" applyAlignment="1" pivotButton="0" quotePrefix="0" xfId="0">
      <alignment horizontal="general" vertical="bottom"/>
    </xf>
    <xf numFmtId="0" fontId="15" fillId="0" borderId="46" applyAlignment="1" pivotButton="0" quotePrefix="0" xfId="0">
      <alignment horizontal="general" vertical="bottom"/>
    </xf>
    <xf numFmtId="0" fontId="15" fillId="0" borderId="19" applyAlignment="1" pivotButton="0" quotePrefix="0" xfId="0">
      <alignment horizontal="general" vertical="bottom"/>
    </xf>
    <xf numFmtId="0" fontId="19" fillId="0" borderId="13" applyAlignment="1" pivotButton="0" quotePrefix="0" xfId="0">
      <alignment horizontal="general" vertical="bottom"/>
    </xf>
    <xf numFmtId="0" fontId="15" fillId="0" borderId="50" applyAlignment="1" pivotButton="0" quotePrefix="0" xfId="0">
      <alignment horizontal="general" vertical="bottom"/>
    </xf>
    <xf numFmtId="0" fontId="15" fillId="0" borderId="51" applyAlignment="1" pivotButton="0" quotePrefix="0" xfId="0">
      <alignment horizontal="general" vertical="bottom"/>
    </xf>
    <xf numFmtId="0" fontId="16" fillId="0" borderId="50" applyAlignment="1" pivotButton="0" quotePrefix="0" xfId="0">
      <alignment horizontal="general" vertical="bottom"/>
    </xf>
    <xf numFmtId="0" fontId="21" fillId="0" borderId="7" applyAlignment="1" pivotButton="0" quotePrefix="0" xfId="0">
      <alignment horizontal="general" vertical="bottom"/>
    </xf>
    <xf numFmtId="166" fontId="30" fillId="34" borderId="50" applyAlignment="1" pivotButton="0" quotePrefix="0" xfId="0">
      <alignment horizontal="general" vertical="bottom"/>
    </xf>
    <xf numFmtId="166" fontId="30" fillId="34" borderId="7" applyAlignment="1" pivotButton="0" quotePrefix="0" xfId="0">
      <alignment horizontal="general" vertical="bottom"/>
    </xf>
    <xf numFmtId="166" fontId="18" fillId="35" borderId="7" applyAlignment="1" pivotButton="0" quotePrefix="0" xfId="0">
      <alignment horizontal="general" vertical="bottom"/>
    </xf>
    <xf numFmtId="166" fontId="18" fillId="36" borderId="7" applyAlignment="1" pivotButton="0" quotePrefix="0" xfId="0">
      <alignment horizontal="general" vertical="bottom"/>
    </xf>
    <xf numFmtId="166" fontId="18" fillId="36" borderId="50" applyAlignment="1" pivotButton="0" quotePrefix="0" xfId="0">
      <alignment horizontal="general" vertical="bottom"/>
    </xf>
    <xf numFmtId="0" fontId="18" fillId="36" borderId="0" applyAlignment="1" pivotButton="0" quotePrefix="0" xfId="0">
      <alignment horizontal="general" vertical="bottom"/>
    </xf>
    <xf numFmtId="0" fontId="16" fillId="37" borderId="0" applyAlignment="1" pivotButton="0" quotePrefix="0" xfId="0">
      <alignment horizontal="general" vertical="bottom"/>
    </xf>
    <xf numFmtId="0" fontId="21" fillId="37" borderId="0" applyAlignment="1" pivotButton="0" quotePrefix="0" xfId="0">
      <alignment horizontal="general" vertical="bottom"/>
    </xf>
    <xf numFmtId="0" fontId="0" fillId="37" borderId="0" applyAlignment="1" pivotButton="0" quotePrefix="0" xfId="0">
      <alignment horizontal="general" vertical="bottom"/>
    </xf>
    <xf numFmtId="0" fontId="25" fillId="0" borderId="5" applyAlignment="1" pivotButton="0" quotePrefix="0" xfId="0">
      <alignment horizontal="general" vertical="bottom"/>
    </xf>
    <xf numFmtId="166" fontId="25" fillId="35" borderId="5" applyAlignment="1" pivotButton="0" quotePrefix="0" xfId="0">
      <alignment horizontal="general" vertical="bottom"/>
    </xf>
    <xf numFmtId="166" fontId="25" fillId="36" borderId="5" applyAlignment="1" pivotButton="0" quotePrefix="0" xfId="0">
      <alignment horizontal="general" vertical="bottom"/>
    </xf>
    <xf numFmtId="166" fontId="16" fillId="0" borderId="6" applyAlignment="1" pivotButton="0" quotePrefix="0" xfId="0">
      <alignment horizontal="general" vertical="bottom"/>
    </xf>
    <xf numFmtId="167" fontId="23" fillId="0" borderId="5" applyAlignment="1" pivotButton="0" quotePrefix="0" xfId="0">
      <alignment horizontal="general" vertical="bottom"/>
    </xf>
    <xf numFmtId="166" fontId="23" fillId="0" borderId="5" applyAlignment="1" pivotButton="0" quotePrefix="0" xfId="0">
      <alignment horizontal="center" vertical="bottom"/>
    </xf>
    <xf numFmtId="166" fontId="23" fillId="6" borderId="5" applyAlignment="1" pivotButton="0" quotePrefix="0" xfId="0">
      <alignment horizontal="general" vertical="bottom"/>
    </xf>
    <xf numFmtId="0" fontId="25" fillId="17" borderId="26" applyAlignment="1" pivotButton="0" quotePrefix="0" xfId="0">
      <alignment horizontal="general" vertical="bottom"/>
    </xf>
    <xf numFmtId="0" fontId="25" fillId="17" borderId="23" applyAlignment="1" pivotButton="0" quotePrefix="0" xfId="0">
      <alignment horizontal="general" vertical="bottom"/>
    </xf>
    <xf numFmtId="166" fontId="16" fillId="0" borderId="50" applyAlignment="1" pivotButton="0" quotePrefix="0" xfId="0">
      <alignment horizontal="general" vertical="bottom"/>
    </xf>
    <xf numFmtId="0" fontId="21" fillId="18" borderId="23" applyAlignment="1" pivotButton="0" quotePrefix="0" xfId="0">
      <alignment horizontal="general" vertical="bottom"/>
    </xf>
    <xf numFmtId="0" fontId="16" fillId="18" borderId="50" applyAlignment="1" pivotButton="0" quotePrefix="0" xfId="0">
      <alignment horizontal="general" vertical="bottom"/>
    </xf>
    <xf numFmtId="0" fontId="0" fillId="18" borderId="7" applyAlignment="1" pivotButton="0" quotePrefix="0" xfId="0">
      <alignment horizontal="general" vertical="bottom"/>
    </xf>
    <xf numFmtId="0" fontId="16" fillId="20" borderId="50" applyAlignment="1" pivotButton="0" quotePrefix="0" xfId="0">
      <alignment horizontal="general" vertical="bottom"/>
    </xf>
    <xf numFmtId="0" fontId="16" fillId="22" borderId="48" applyAlignment="1" pivotButton="0" quotePrefix="0" xfId="0">
      <alignment horizontal="general" vertical="bottom"/>
    </xf>
    <xf numFmtId="0" fontId="16" fillId="0" borderId="52" applyAlignment="1" pivotButton="0" quotePrefix="0" xfId="0">
      <alignment horizontal="general" vertical="bottom"/>
    </xf>
    <xf numFmtId="0" fontId="16" fillId="38" borderId="7" applyAlignment="1" pivotButton="0" quotePrefix="0" xfId="0">
      <alignment horizontal="general" vertical="bottom"/>
    </xf>
    <xf numFmtId="0" fontId="16" fillId="29" borderId="27" applyAlignment="1" pivotButton="0" quotePrefix="0" xfId="0">
      <alignment horizontal="general" vertical="bottom"/>
    </xf>
    <xf numFmtId="0" fontId="0" fillId="0" borderId="25" applyAlignment="1" pivotButton="0" quotePrefix="0" xfId="0">
      <alignment horizontal="general" vertical="bottom"/>
    </xf>
    <xf numFmtId="0" fontId="16" fillId="22" borderId="38" applyAlignment="1" pivotButton="0" quotePrefix="0" xfId="0">
      <alignment horizontal="general" vertical="bottom"/>
    </xf>
    <xf numFmtId="0" fontId="16" fillId="29" borderId="31" applyAlignment="1" pivotButton="0" quotePrefix="0" xfId="0">
      <alignment horizontal="general" vertical="bottom"/>
    </xf>
    <xf numFmtId="0" fontId="16" fillId="39" borderId="22" applyAlignment="1" pivotButton="0" quotePrefix="0" xfId="0">
      <alignment horizontal="general" vertical="bottom"/>
    </xf>
    <xf numFmtId="0" fontId="16" fillId="29" borderId="32" applyAlignment="1" pivotButton="0" quotePrefix="0" xfId="0">
      <alignment horizontal="general" vertical="bottom"/>
    </xf>
    <xf numFmtId="0" fontId="16" fillId="20" borderId="44" applyAlignment="1" pivotButton="0" quotePrefix="0" xfId="0">
      <alignment horizontal="general" vertical="bottom"/>
    </xf>
    <xf numFmtId="0" fontId="16" fillId="39" borderId="7" applyAlignment="1" pivotButton="0" quotePrefix="0" xfId="0">
      <alignment horizontal="general" vertical="bottom"/>
    </xf>
    <xf numFmtId="0" fontId="16" fillId="20" borderId="36" applyAlignment="1" pivotButton="0" quotePrefix="0" xfId="0">
      <alignment horizontal="general" vertical="bottom"/>
    </xf>
    <xf numFmtId="0" fontId="16" fillId="38" borderId="23" applyAlignment="1" pivotButton="0" quotePrefix="0" xfId="0">
      <alignment horizontal="general" vertical="bottom"/>
    </xf>
    <xf numFmtId="0" fontId="16" fillId="20" borderId="39" applyAlignment="1" pivotButton="0" quotePrefix="0" xfId="0">
      <alignment horizontal="general" vertical="bottom"/>
    </xf>
    <xf numFmtId="0" fontId="16" fillId="20" borderId="7" applyAlignment="1" pivotButton="0" quotePrefix="0" xfId="0">
      <alignment horizontal="general" vertical="bottom"/>
    </xf>
    <xf numFmtId="0" fontId="16" fillId="21" borderId="36" applyAlignment="1" pivotButton="0" quotePrefix="0" xfId="0">
      <alignment horizontal="general" vertical="bottom"/>
    </xf>
    <xf numFmtId="0" fontId="16" fillId="29" borderId="54" applyAlignment="1" pivotButton="0" quotePrefix="0" xfId="0">
      <alignment horizontal="general" vertical="bottom"/>
    </xf>
    <xf numFmtId="0" fontId="16" fillId="20" borderId="45" applyAlignment="1" pivotButton="0" quotePrefix="0" xfId="0">
      <alignment horizontal="general" vertical="bottom"/>
    </xf>
    <xf numFmtId="0" fontId="16" fillId="21" borderId="54" applyAlignment="1" pivotButton="0" quotePrefix="0" xfId="0">
      <alignment horizontal="general" vertical="bottom"/>
    </xf>
    <xf numFmtId="0" fontId="16" fillId="33" borderId="32" applyAlignment="1" pivotButton="0" quotePrefix="0" xfId="0">
      <alignment horizontal="general" vertical="bottom"/>
    </xf>
    <xf numFmtId="0" fontId="16" fillId="37" borderId="50" applyAlignment="1" pivotButton="0" quotePrefix="0" xfId="0">
      <alignment horizontal="general" vertical="bottom"/>
    </xf>
    <xf numFmtId="0" fontId="16" fillId="29" borderId="36" applyAlignment="1" pivotButton="0" quotePrefix="0" xfId="0">
      <alignment horizontal="general" vertical="bottom"/>
    </xf>
    <xf numFmtId="0" fontId="16" fillId="29" borderId="39" applyAlignment="1" pivotButton="0" quotePrefix="0" xfId="0">
      <alignment horizontal="general" vertical="bottom"/>
    </xf>
    <xf numFmtId="0" fontId="16" fillId="25" borderId="54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16" fillId="0" borderId="7" applyAlignment="1" pivotButton="0" quotePrefix="0" xfId="0">
      <alignment horizontal="left" vertical="bottom"/>
    </xf>
    <xf numFmtId="0" fontId="0" fillId="0" borderId="7" applyAlignment="1" pivotButton="0" quotePrefix="0" xfId="0">
      <alignment horizontal="general" vertical="bottom"/>
    </xf>
    <xf numFmtId="166" fontId="30" fillId="36" borderId="50" applyAlignment="1" pivotButton="0" quotePrefix="0" xfId="0">
      <alignment horizontal="general" vertical="bottom"/>
    </xf>
    <xf numFmtId="166" fontId="30" fillId="36" borderId="7" applyAlignment="1" pivotButton="0" quotePrefix="0" xfId="0">
      <alignment horizontal="general" vertical="bottom"/>
    </xf>
    <xf numFmtId="166" fontId="18" fillId="10" borderId="7" applyAlignment="1" pivotButton="0" quotePrefix="0" xfId="0">
      <alignment horizontal="general" vertical="bottom"/>
    </xf>
    <xf numFmtId="166" fontId="18" fillId="37" borderId="7" applyAlignment="1" pivotButton="0" quotePrefix="0" xfId="0">
      <alignment horizontal="general" vertical="bottom"/>
    </xf>
    <xf numFmtId="166" fontId="18" fillId="37" borderId="50" applyAlignment="1" pivotButton="0" quotePrefix="0" xfId="0">
      <alignment horizontal="general" vertical="bottom"/>
    </xf>
    <xf numFmtId="166" fontId="18" fillId="37" borderId="13" applyAlignment="1" pivotButton="0" quotePrefix="0" xfId="0">
      <alignment horizontal="general" vertical="bottom"/>
    </xf>
    <xf numFmtId="0" fontId="29" fillId="10" borderId="0" applyAlignment="1" pivotButton="0" quotePrefix="0" xfId="0">
      <alignment horizontal="general" vertical="bottom"/>
    </xf>
    <xf numFmtId="166" fontId="29" fillId="10" borderId="0" applyAlignment="1" pivotButton="0" quotePrefix="0" xfId="0">
      <alignment horizontal="general" vertical="bottom"/>
    </xf>
    <xf numFmtId="0" fontId="29" fillId="36" borderId="0" applyAlignment="1" pivotButton="0" quotePrefix="0" xfId="0">
      <alignment horizontal="general" vertical="bottom"/>
    </xf>
    <xf numFmtId="166" fontId="29" fillId="36" borderId="0" applyAlignment="1" pivotButton="0" quotePrefix="0" xfId="0">
      <alignment horizontal="general" vertical="bottom"/>
    </xf>
    <xf numFmtId="0" fontId="22" fillId="40" borderId="9" applyAlignment="1" pivotButton="0" quotePrefix="0" xfId="0">
      <alignment horizontal="center" vertical="bottom"/>
    </xf>
    <xf numFmtId="0" fontId="23" fillId="15" borderId="14" applyAlignment="1" pivotButton="0" quotePrefix="0" xfId="0">
      <alignment horizontal="left" vertical="bottom"/>
    </xf>
    <xf numFmtId="0" fontId="23" fillId="15" borderId="22" applyAlignment="1" pivotButton="0" quotePrefix="0" xfId="0">
      <alignment horizontal="left" vertical="bottom"/>
    </xf>
    <xf numFmtId="0" fontId="15" fillId="0" borderId="0" applyAlignment="1" pivotButton="0" quotePrefix="0" xfId="0">
      <alignment horizontal="left" vertical="bottom"/>
    </xf>
    <xf numFmtId="166" fontId="15" fillId="0" borderId="0" applyAlignment="1" pivotButton="0" quotePrefix="0" xfId="0">
      <alignment horizontal="general" vertical="bottom"/>
    </xf>
    <xf numFmtId="0" fontId="23" fillId="0" borderId="5" applyAlignment="1" pivotButton="0" quotePrefix="0" xfId="0">
      <alignment horizontal="general" vertical="bottom"/>
    </xf>
    <xf numFmtId="166" fontId="23" fillId="0" borderId="34" applyAlignment="1" pivotButton="0" quotePrefix="0" xfId="0">
      <alignment horizontal="general" vertical="bottom"/>
    </xf>
    <xf numFmtId="0" fontId="25" fillId="17" borderId="25" applyAlignment="1" pivotButton="0" quotePrefix="0" xfId="0">
      <alignment horizontal="general" vertical="bottom"/>
    </xf>
    <xf numFmtId="166" fontId="16" fillId="0" borderId="25" applyAlignment="1" pivotButton="0" quotePrefix="0" xfId="0">
      <alignment horizontal="general" vertical="bottom"/>
    </xf>
    <xf numFmtId="0" fontId="0" fillId="18" borderId="23" applyAlignment="1" pivotButton="0" quotePrefix="0" xfId="0">
      <alignment horizontal="general" vertical="bottom"/>
    </xf>
    <xf numFmtId="0" fontId="16" fillId="8" borderId="23" applyAlignment="1" pivotButton="0" quotePrefix="0" xfId="0">
      <alignment horizontal="general" vertical="bottom"/>
    </xf>
    <xf numFmtId="0" fontId="16" fillId="9" borderId="7" applyAlignment="1" pivotButton="0" quotePrefix="0" xfId="0">
      <alignment horizontal="general" vertical="bottom"/>
    </xf>
    <xf numFmtId="0" fontId="16" fillId="10" borderId="7" applyAlignment="1" pivotButton="0" quotePrefix="0" xfId="0">
      <alignment horizontal="general" vertical="bottom"/>
    </xf>
    <xf numFmtId="0" fontId="21" fillId="0" borderId="42" applyAlignment="1" pivotButton="0" quotePrefix="0" xfId="0">
      <alignment horizontal="general" vertical="bottom"/>
    </xf>
    <xf numFmtId="0" fontId="16" fillId="41" borderId="23" applyAlignment="1" pivotButton="0" quotePrefix="0" xfId="0">
      <alignment horizontal="general" vertical="bottom"/>
    </xf>
    <xf numFmtId="0" fontId="0" fillId="0" borderId="23" applyAlignment="1" pivotButton="0" quotePrefix="0" xfId="0">
      <alignment horizontal="general" vertical="bottom"/>
    </xf>
    <xf numFmtId="0" fontId="0" fillId="0" borderId="50" applyAlignment="1" pivotButton="0" quotePrefix="0" xfId="0">
      <alignment horizontal="general" vertical="bottom"/>
    </xf>
    <xf numFmtId="0" fontId="16" fillId="25" borderId="48" applyAlignment="1" pivotButton="0" quotePrefix="0" xfId="0">
      <alignment horizontal="general" vertical="bottom"/>
    </xf>
    <xf numFmtId="0" fontId="16" fillId="9" borderId="23" applyAlignment="1" pivotButton="0" quotePrefix="0" xfId="0">
      <alignment horizontal="general" vertical="bottom"/>
    </xf>
    <xf numFmtId="0" fontId="16" fillId="41" borderId="27" applyAlignment="1" pivotButton="0" quotePrefix="0" xfId="0">
      <alignment horizontal="general" vertical="bottom"/>
    </xf>
    <xf numFmtId="0" fontId="16" fillId="42" borderId="50" applyAlignment="1" pivotButton="0" quotePrefix="0" xfId="0">
      <alignment horizontal="general" vertical="bottom"/>
    </xf>
    <xf numFmtId="0" fontId="16" fillId="20" borderId="35" applyAlignment="1" pivotButton="0" quotePrefix="0" xfId="0">
      <alignment horizontal="general" vertical="bottom"/>
    </xf>
    <xf numFmtId="0" fontId="16" fillId="17" borderId="44" applyAlignment="1" pivotButton="0" quotePrefix="0" xfId="0">
      <alignment horizontal="general" vertical="bottom"/>
    </xf>
    <xf numFmtId="0" fontId="16" fillId="10" borderId="44" applyAlignment="1" pivotButton="0" quotePrefix="0" xfId="0">
      <alignment horizontal="general" vertical="bottom"/>
    </xf>
    <xf numFmtId="0" fontId="16" fillId="7" borderId="27" applyAlignment="1" pivotButton="0" quotePrefix="0" xfId="0">
      <alignment horizontal="general" vertical="bottom"/>
    </xf>
    <xf numFmtId="0" fontId="16" fillId="25" borderId="38" applyAlignment="1" pivotButton="0" quotePrefix="0" xfId="0">
      <alignment horizontal="general" vertical="bottom"/>
    </xf>
    <xf numFmtId="0" fontId="16" fillId="41" borderId="31" applyAlignment="1" pivotButton="0" quotePrefix="0" xfId="0">
      <alignment horizontal="general" vertical="bottom"/>
    </xf>
    <xf numFmtId="0" fontId="16" fillId="20" borderId="37" applyAlignment="1" pivotButton="0" quotePrefix="0" xfId="0">
      <alignment horizontal="general" vertical="bottom"/>
    </xf>
    <xf numFmtId="0" fontId="16" fillId="17" borderId="41" applyAlignment="1" pivotButton="0" quotePrefix="0" xfId="0">
      <alignment horizontal="general" vertical="bottom"/>
    </xf>
    <xf numFmtId="0" fontId="16" fillId="10" borderId="36" applyAlignment="1" pivotButton="0" quotePrefix="0" xfId="0">
      <alignment horizontal="general" vertical="bottom"/>
    </xf>
    <xf numFmtId="0" fontId="16" fillId="7" borderId="31" applyAlignment="1" pivotButton="0" quotePrefix="0" xfId="0">
      <alignment horizontal="general" vertical="bottom"/>
    </xf>
    <xf numFmtId="0" fontId="16" fillId="17" borderId="42" applyAlignment="1" pivotButton="0" quotePrefix="0" xfId="0">
      <alignment horizontal="general" vertical="bottom"/>
    </xf>
    <xf numFmtId="0" fontId="16" fillId="8" borderId="7" applyAlignment="1" pivotButton="0" quotePrefix="0" xfId="0">
      <alignment horizontal="general" vertical="bottom"/>
    </xf>
    <xf numFmtId="0" fontId="16" fillId="9" borderId="45" applyAlignment="1" pivotButton="0" quotePrefix="0" xfId="0">
      <alignment horizontal="general" vertical="bottom"/>
    </xf>
    <xf numFmtId="0" fontId="16" fillId="9" borderId="32" applyAlignment="1" pivotButton="0" quotePrefix="0" xfId="0">
      <alignment horizontal="general" vertical="bottom"/>
    </xf>
    <xf numFmtId="0" fontId="16" fillId="17" borderId="39" applyAlignment="1" pivotButton="0" quotePrefix="0" xfId="0">
      <alignment horizontal="general" vertical="bottom"/>
    </xf>
    <xf numFmtId="0" fontId="16" fillId="9" borderId="27" applyAlignment="1" pivotButton="0" quotePrefix="0" xfId="0">
      <alignment horizontal="general" vertical="bottom"/>
    </xf>
    <xf numFmtId="0" fontId="16" fillId="20" borderId="43" applyAlignment="1" pivotButton="0" quotePrefix="0" xfId="0">
      <alignment horizontal="general" vertical="bottom"/>
    </xf>
    <xf numFmtId="0" fontId="16" fillId="7" borderId="45" applyAlignment="1" pivotButton="0" quotePrefix="0" xfId="0">
      <alignment horizontal="general" vertical="bottom"/>
    </xf>
    <xf numFmtId="0" fontId="16" fillId="43" borderId="23" applyAlignment="1" pivotButton="0" quotePrefix="0" xfId="0">
      <alignment horizontal="general" vertical="bottom"/>
    </xf>
    <xf numFmtId="0" fontId="16" fillId="9" borderId="31" applyAlignment="1" pivotButton="0" quotePrefix="0" xfId="0">
      <alignment horizontal="general" vertical="bottom"/>
    </xf>
    <xf numFmtId="0" fontId="0" fillId="0" borderId="28" applyAlignment="1" pivotButton="0" quotePrefix="0" xfId="0">
      <alignment horizontal="general" vertical="bottom"/>
    </xf>
    <xf numFmtId="0" fontId="16" fillId="10" borderId="39" applyAlignment="1" pivotButton="0" quotePrefix="0" xfId="0">
      <alignment horizontal="general" vertical="bottom"/>
    </xf>
    <xf numFmtId="0" fontId="16" fillId="25" borderId="35" applyAlignment="1" pivotButton="0" quotePrefix="0" xfId="0">
      <alignment horizontal="general" vertical="bottom"/>
    </xf>
    <xf numFmtId="0" fontId="16" fillId="17" borderId="27" applyAlignment="1" pivotButton="0" quotePrefix="0" xfId="0">
      <alignment horizontal="general" vertical="bottom"/>
    </xf>
    <xf numFmtId="0" fontId="16" fillId="9" borderId="40" applyAlignment="1" pivotButton="0" quotePrefix="0" xfId="0">
      <alignment horizontal="general" vertical="bottom"/>
    </xf>
    <xf numFmtId="0" fontId="16" fillId="10" borderId="48" applyAlignment="1" pivotButton="0" quotePrefix="0" xfId="0">
      <alignment horizontal="general" vertical="bottom"/>
    </xf>
    <xf numFmtId="0" fontId="16" fillId="21" borderId="50" applyAlignment="1" pivotButton="0" quotePrefix="0" xfId="0">
      <alignment horizontal="general" vertical="bottom"/>
    </xf>
    <xf numFmtId="0" fontId="16" fillId="7" borderId="35" applyAlignment="1" pivotButton="0" quotePrefix="0" xfId="0">
      <alignment horizontal="general" vertical="bottom"/>
    </xf>
    <xf numFmtId="0" fontId="16" fillId="25" borderId="37" applyAlignment="1" pivotButton="0" quotePrefix="0" xfId="0">
      <alignment horizontal="general" vertical="bottom"/>
    </xf>
    <xf numFmtId="0" fontId="16" fillId="17" borderId="31" applyAlignment="1" pivotButton="0" quotePrefix="0" xfId="0">
      <alignment horizontal="general" vertical="bottom"/>
    </xf>
    <xf numFmtId="0" fontId="16" fillId="10" borderId="38" applyAlignment="1" pivotButton="0" quotePrefix="0" xfId="0">
      <alignment horizontal="general" vertical="bottom"/>
    </xf>
    <xf numFmtId="0" fontId="16" fillId="7" borderId="37" applyAlignment="1" pivotButton="0" quotePrefix="0" xfId="0">
      <alignment horizontal="general" vertical="bottom"/>
    </xf>
    <xf numFmtId="0" fontId="16" fillId="44" borderId="27" applyAlignment="1" pivotButton="0" quotePrefix="0" xfId="0">
      <alignment horizontal="general" vertical="bottom"/>
    </xf>
    <xf numFmtId="0" fontId="16" fillId="41" borderId="45" applyAlignment="1" pivotButton="0" quotePrefix="0" xfId="0">
      <alignment horizontal="general" vertical="bottom"/>
    </xf>
    <xf numFmtId="0" fontId="16" fillId="42" borderId="42" applyAlignment="1" pivotButton="0" quotePrefix="0" xfId="0">
      <alignment horizontal="general" vertical="bottom"/>
    </xf>
    <xf numFmtId="0" fontId="16" fillId="22" borderId="40" applyAlignment="1" pivotButton="0" quotePrefix="0" xfId="0">
      <alignment horizontal="general" vertical="bottom"/>
    </xf>
    <xf numFmtId="0" fontId="16" fillId="44" borderId="31" applyAlignment="1" pivotButton="0" quotePrefix="0" xfId="0">
      <alignment horizontal="general" vertical="bottom"/>
    </xf>
    <xf numFmtId="0" fontId="16" fillId="27" borderId="51" applyAlignment="1" pivotButton="0" quotePrefix="0" xfId="0">
      <alignment horizontal="general" vertical="bottom"/>
    </xf>
    <xf numFmtId="0" fontId="16" fillId="25" borderId="43" applyAlignment="1" pivotButton="0" quotePrefix="0" xfId="0">
      <alignment horizontal="general" vertical="bottom"/>
    </xf>
    <xf numFmtId="0" fontId="16" fillId="9" borderId="35" applyAlignment="1" pivotButton="0" quotePrefix="0" xfId="0">
      <alignment horizontal="general" vertical="bottom"/>
    </xf>
    <xf numFmtId="0" fontId="16" fillId="44" borderId="32" applyAlignment="1" pivotButton="0" quotePrefix="0" xfId="0">
      <alignment horizontal="general" vertical="bottom"/>
    </xf>
    <xf numFmtId="0" fontId="16" fillId="12" borderId="50" applyAlignment="1" pivotButton="0" quotePrefix="0" xfId="0">
      <alignment horizontal="general" vertical="bottom"/>
    </xf>
    <xf numFmtId="0" fontId="16" fillId="21" borderId="51" applyAlignment="1" pivotButton="0" quotePrefix="0" xfId="0">
      <alignment horizontal="general" vertical="bottom"/>
    </xf>
    <xf numFmtId="0" fontId="16" fillId="7" borderId="43" applyAlignment="1" pivotButton="0" quotePrefix="0" xfId="0">
      <alignment horizontal="general" vertical="bottom"/>
    </xf>
    <xf numFmtId="0" fontId="16" fillId="22" borderId="22" applyAlignment="1" pivotButton="0" quotePrefix="0" xfId="0">
      <alignment horizontal="general" vertical="bottom"/>
    </xf>
    <xf numFmtId="0" fontId="16" fillId="9" borderId="38" applyAlignment="1" pivotButton="0" quotePrefix="0" xfId="0">
      <alignment horizontal="general" vertical="bottom"/>
    </xf>
    <xf numFmtId="0" fontId="16" fillId="10" borderId="40" applyAlignment="1" pivotButton="0" quotePrefix="0" xfId="0">
      <alignment horizontal="general" vertical="bottom"/>
    </xf>
    <xf numFmtId="0" fontId="16" fillId="21" borderId="56" applyAlignment="1" pivotButton="0" quotePrefix="0" xfId="0">
      <alignment horizontal="general" vertical="bottom"/>
    </xf>
    <xf numFmtId="0" fontId="16" fillId="25" borderId="44" applyAlignment="1" pivotButton="0" quotePrefix="0" xfId="0">
      <alignment horizontal="general" vertical="bottom"/>
    </xf>
    <xf numFmtId="0" fontId="16" fillId="9" borderId="43" applyAlignment="1" pivotButton="0" quotePrefix="0" xfId="0">
      <alignment horizontal="general" vertical="bottom"/>
    </xf>
    <xf numFmtId="0" fontId="16" fillId="25" borderId="41" applyAlignment="1" pivotButton="0" quotePrefix="0" xfId="0">
      <alignment horizontal="general" vertical="bottom"/>
    </xf>
    <xf numFmtId="0" fontId="16" fillId="40" borderId="27" applyAlignment="1" pivotButton="0" quotePrefix="0" xfId="0">
      <alignment horizontal="general" vertical="bottom"/>
    </xf>
    <xf numFmtId="0" fontId="16" fillId="8" borderId="36" applyAlignment="1" pivotButton="0" quotePrefix="0" xfId="0">
      <alignment horizontal="general" vertical="bottom"/>
    </xf>
    <xf numFmtId="0" fontId="16" fillId="17" borderId="38" applyAlignment="1" pivotButton="0" quotePrefix="0" xfId="0">
      <alignment horizontal="general" vertical="bottom"/>
    </xf>
    <xf numFmtId="0" fontId="16" fillId="8" borderId="51" applyAlignment="1" pivotButton="0" quotePrefix="0" xfId="0">
      <alignment horizontal="general" vertical="bottom"/>
    </xf>
    <xf numFmtId="0" fontId="16" fillId="41" borderId="32" applyAlignment="1" pivotButton="0" quotePrefix="0" xfId="0">
      <alignment horizontal="general" vertical="bottom"/>
    </xf>
    <xf numFmtId="0" fontId="16" fillId="40" borderId="31" applyAlignment="1" pivotButton="0" quotePrefix="0" xfId="0">
      <alignment horizontal="general" vertical="bottom"/>
    </xf>
    <xf numFmtId="0" fontId="16" fillId="7" borderId="56" applyAlignment="1" pivotButton="0" quotePrefix="0" xfId="0">
      <alignment horizontal="general" vertical="bottom"/>
    </xf>
    <xf numFmtId="0" fontId="16" fillId="27" borderId="22" applyAlignment="1" pivotButton="0" quotePrefix="0" xfId="0">
      <alignment horizontal="general" vertical="bottom"/>
    </xf>
    <xf numFmtId="0" fontId="16" fillId="41" borderId="54" applyAlignment="1" pivotButton="0" quotePrefix="0" xfId="0">
      <alignment horizontal="general" vertical="bottom"/>
    </xf>
    <xf numFmtId="0" fontId="16" fillId="33" borderId="23" applyAlignment="1" pivotButton="0" quotePrefix="0" xfId="0">
      <alignment horizontal="general" vertical="bottom"/>
    </xf>
    <xf numFmtId="0" fontId="16" fillId="8" borderId="39" applyAlignment="1" pivotButton="0" quotePrefix="0" xfId="0">
      <alignment horizontal="general" vertical="bottom"/>
    </xf>
    <xf numFmtId="0" fontId="16" fillId="17" borderId="40" applyAlignment="1" pivotButton="0" quotePrefix="0" xfId="0">
      <alignment horizontal="general" vertical="bottom"/>
    </xf>
    <xf numFmtId="0" fontId="16" fillId="12" borderId="22" applyAlignment="1" pivotButton="0" quotePrefix="0" xfId="0">
      <alignment horizontal="general" vertical="bottom"/>
    </xf>
    <xf numFmtId="0" fontId="16" fillId="40" borderId="32" applyAlignment="1" pivotButton="0" quotePrefix="0" xfId="0">
      <alignment horizontal="general" vertical="bottom"/>
    </xf>
    <xf numFmtId="0" fontId="16" fillId="43" borderId="7" applyAlignment="1" pivotButton="0" quotePrefix="0" xfId="0">
      <alignment horizontal="general" vertical="bottom"/>
    </xf>
    <xf numFmtId="0" fontId="16" fillId="9" borderId="36" applyAlignment="1" pivotButton="0" quotePrefix="0" xfId="0">
      <alignment horizontal="general" vertical="bottom"/>
    </xf>
    <xf numFmtId="0" fontId="16" fillId="9" borderId="39" applyAlignment="1" pivotButton="0" quotePrefix="0" xfId="0">
      <alignment horizontal="general" vertical="bottom"/>
    </xf>
    <xf numFmtId="0" fontId="16" fillId="8" borderId="44" applyAlignment="1" pivotButton="0" quotePrefix="0" xfId="0">
      <alignment horizontal="general" vertical="bottom"/>
    </xf>
    <xf numFmtId="0" fontId="16" fillId="17" borderId="52" applyAlignment="1" pivotButton="0" quotePrefix="0" xfId="0">
      <alignment horizontal="general" vertical="bottom"/>
    </xf>
    <xf numFmtId="0" fontId="16" fillId="34" borderId="27" applyAlignment="1" pivotButton="0" quotePrefix="0" xfId="0">
      <alignment horizontal="general" vertical="bottom"/>
    </xf>
    <xf numFmtId="0" fontId="16" fillId="21" borderId="57" applyAlignment="1" pivotButton="0" quotePrefix="0" xfId="0">
      <alignment horizontal="general" vertical="bottom"/>
    </xf>
    <xf numFmtId="0" fontId="16" fillId="17" borderId="56" applyAlignment="1" pivotButton="0" quotePrefix="0" xfId="0">
      <alignment horizontal="general" vertical="bottom"/>
    </xf>
    <xf numFmtId="0" fontId="16" fillId="34" borderId="31" applyAlignment="1" pivotButton="0" quotePrefix="0" xfId="0">
      <alignment horizontal="general" vertical="bottom"/>
    </xf>
    <xf numFmtId="0" fontId="23" fillId="11" borderId="22" applyAlignment="1" pivotButton="0" quotePrefix="0" xfId="0">
      <alignment horizontal="general" vertical="bottom"/>
    </xf>
    <xf numFmtId="0" fontId="16" fillId="9" borderId="44" applyAlignment="1" pivotButton="0" quotePrefix="0" xfId="0">
      <alignment horizontal="general" vertical="bottom"/>
    </xf>
    <xf numFmtId="0" fontId="16" fillId="40" borderId="36" applyAlignment="1" pivotButton="0" quotePrefix="0" xfId="0">
      <alignment horizontal="general" vertical="bottom"/>
    </xf>
    <xf numFmtId="0" fontId="16" fillId="37" borderId="27" applyAlignment="1" pivotButton="0" quotePrefix="0" xfId="0">
      <alignment horizontal="general" vertical="bottom"/>
    </xf>
    <xf numFmtId="0" fontId="16" fillId="17" borderId="43" applyAlignment="1" pivotButton="0" quotePrefix="0" xfId="0">
      <alignment horizontal="general" vertical="bottom"/>
    </xf>
    <xf numFmtId="0" fontId="16" fillId="40" borderId="39" applyAlignment="1" pivotButton="0" quotePrefix="0" xfId="0">
      <alignment horizontal="general" vertical="bottom"/>
    </xf>
    <xf numFmtId="0" fontId="16" fillId="37" borderId="31" applyAlignment="1" pivotButton="0" quotePrefix="0" xfId="0">
      <alignment horizontal="general" vertical="bottom"/>
    </xf>
    <xf numFmtId="0" fontId="16" fillId="34" borderId="32" applyAlignment="1" pivotButton="0" quotePrefix="0" xfId="0">
      <alignment horizontal="general" vertical="bottom"/>
    </xf>
    <xf numFmtId="0" fontId="16" fillId="37" borderId="32" applyAlignment="1" pivotButton="0" quotePrefix="0" xfId="0">
      <alignment horizontal="general" vertical="bottom"/>
    </xf>
    <xf numFmtId="0" fontId="16" fillId="0" borderId="54" applyAlignment="1" pivotButton="0" quotePrefix="0" xfId="0">
      <alignment horizontal="general" vertical="bottom"/>
    </xf>
    <xf numFmtId="0" fontId="0" fillId="0" borderId="55" applyAlignment="1" pivotButton="0" quotePrefix="0" xfId="0">
      <alignment horizontal="general" vertical="bottom"/>
    </xf>
    <xf numFmtId="0" fontId="21" fillId="0" borderId="13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bottom"/>
    </xf>
    <xf numFmtId="0" fontId="31" fillId="0" borderId="13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166" fontId="18" fillId="33" borderId="7" applyAlignment="1" pivotButton="0" quotePrefix="0" xfId="0">
      <alignment horizontal="general" vertical="bottom"/>
    </xf>
    <xf numFmtId="166" fontId="18" fillId="33" borderId="50" applyAlignment="1" pivotButton="0" quotePrefix="0" xfId="0">
      <alignment horizontal="general" vertical="bottom"/>
    </xf>
    <xf numFmtId="166" fontId="18" fillId="36" borderId="13" applyAlignment="1" pivotButton="0" quotePrefix="0" xfId="0">
      <alignment horizontal="general" vertical="bottom"/>
    </xf>
    <xf numFmtId="166" fontId="18" fillId="33" borderId="13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23" fillId="10" borderId="0" applyAlignment="1" pivotButton="0" quotePrefix="0" xfId="0">
      <alignment horizontal="general" vertical="bottom"/>
    </xf>
    <xf numFmtId="0" fontId="23" fillId="36" borderId="0" applyAlignment="1" pivotButton="0" quotePrefix="0" xfId="0">
      <alignment horizontal="general" vertical="bottom"/>
    </xf>
    <xf numFmtId="166" fontId="23" fillId="0" borderId="7" applyAlignment="1" pivotButton="0" quotePrefix="0" xfId="0">
      <alignment horizontal="general" vertical="bottom"/>
    </xf>
    <xf numFmtId="0" fontId="15" fillId="8" borderId="7" applyAlignment="1" pivotButton="0" quotePrefix="0" xfId="0">
      <alignment horizontal="center" vertical="bottom"/>
    </xf>
    <xf numFmtId="0" fontId="22" fillId="11" borderId="7" applyAlignment="1" pivotButton="0" quotePrefix="0" xfId="0">
      <alignment horizontal="center" vertical="bottom"/>
    </xf>
    <xf numFmtId="0" fontId="22" fillId="40" borderId="7" applyAlignment="1" pivotButton="0" quotePrefix="0" xfId="0">
      <alignment horizontal="center" vertical="bottom"/>
    </xf>
    <xf numFmtId="0" fontId="22" fillId="0" borderId="0" applyAlignment="1" pivotButton="0" quotePrefix="0" xfId="0">
      <alignment horizontal="left" vertical="bottom"/>
    </xf>
    <xf numFmtId="0" fontId="22" fillId="42" borderId="7" applyAlignment="1" pivotButton="0" quotePrefix="0" xfId="0">
      <alignment horizontal="center" vertical="bottom"/>
    </xf>
    <xf numFmtId="0" fontId="23" fillId="6" borderId="10" applyAlignment="1" pivotButton="0" quotePrefix="0" xfId="0">
      <alignment horizontal="center" vertical="bottom"/>
    </xf>
    <xf numFmtId="0" fontId="25" fillId="18" borderId="7" applyAlignment="1" pivotButton="0" quotePrefix="0" xfId="0">
      <alignment horizontal="general" vertical="bottom"/>
    </xf>
    <xf numFmtId="167" fontId="29" fillId="0" borderId="0" applyAlignment="1" pivotButton="0" quotePrefix="0" xfId="0">
      <alignment horizontal="general" vertical="bottom"/>
    </xf>
    <xf numFmtId="0" fontId="29" fillId="0" borderId="23" applyAlignment="1" pivotButton="0" quotePrefix="0" xfId="0">
      <alignment horizontal="general" vertical="bottom"/>
    </xf>
    <xf numFmtId="0" fontId="16" fillId="0" borderId="51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bottom"/>
    </xf>
    <xf numFmtId="0" fontId="0" fillId="0" borderId="52" applyAlignment="1" pivotButton="0" quotePrefix="0" xfId="0">
      <alignment horizontal="general" vertical="bottom"/>
    </xf>
    <xf numFmtId="0" fontId="29" fillId="0" borderId="25" applyAlignment="1" pivotButton="0" quotePrefix="0" xfId="0">
      <alignment horizontal="general" vertical="bottom"/>
    </xf>
    <xf numFmtId="0" fontId="16" fillId="23" borderId="58" applyAlignment="1" pivotButton="0" quotePrefix="0" xfId="0">
      <alignment horizontal="general" vertical="bottom"/>
    </xf>
    <xf numFmtId="0" fontId="16" fillId="22" borderId="59" applyAlignment="1" pivotButton="0" quotePrefix="0" xfId="0">
      <alignment horizontal="general" vertical="bottom"/>
    </xf>
    <xf numFmtId="0" fontId="16" fillId="7" borderId="57" applyAlignment="1" pivotButton="0" quotePrefix="0" xfId="0">
      <alignment horizontal="general" vertical="bottom"/>
    </xf>
    <xf numFmtId="0" fontId="16" fillId="24" borderId="59" applyAlignment="1" pivotButton="0" quotePrefix="0" xfId="0">
      <alignment horizontal="general" vertical="bottom"/>
    </xf>
    <xf numFmtId="0" fontId="16" fillId="42" borderId="28" applyAlignment="1" pivotButton="0" quotePrefix="0" xfId="0">
      <alignment horizontal="general" vertical="bottom"/>
    </xf>
    <xf numFmtId="0" fontId="16" fillId="21" borderId="44" applyAlignment="1" pivotButton="0" quotePrefix="0" xfId="0">
      <alignment horizontal="general" vertical="bottom"/>
    </xf>
    <xf numFmtId="0" fontId="16" fillId="22" borderId="39" applyAlignment="1" pivotButton="0" quotePrefix="0" xfId="0">
      <alignment horizontal="general" vertical="bottom"/>
    </xf>
    <xf numFmtId="0" fontId="16" fillId="7" borderId="36" applyAlignment="1" pivotButton="0" quotePrefix="0" xfId="0">
      <alignment horizontal="general" vertical="bottom"/>
    </xf>
    <xf numFmtId="0" fontId="16" fillId="24" borderId="38" applyAlignment="1" pivotButton="0" quotePrefix="0" xfId="0">
      <alignment horizontal="general" vertical="bottom"/>
    </xf>
    <xf numFmtId="0" fontId="16" fillId="34" borderId="59" applyAlignment="1" pivotButton="0" quotePrefix="0" xfId="0">
      <alignment horizontal="general" vertical="bottom"/>
    </xf>
    <xf numFmtId="0" fontId="16" fillId="25" borderId="55" applyAlignment="1" pivotButton="0" quotePrefix="0" xfId="0">
      <alignment horizontal="general" vertical="bottom"/>
    </xf>
    <xf numFmtId="0" fontId="16" fillId="45" borderId="58" applyAlignment="1" pivotButton="0" quotePrefix="0" xfId="0">
      <alignment horizontal="general" vertical="bottom"/>
    </xf>
    <xf numFmtId="0" fontId="16" fillId="42" borderId="35" applyAlignment="1" pivotButton="0" quotePrefix="0" xfId="0">
      <alignment horizontal="general" vertical="bottom"/>
    </xf>
    <xf numFmtId="0" fontId="16" fillId="43" borderId="51" applyAlignment="1" pivotButton="0" quotePrefix="0" xfId="0">
      <alignment horizontal="general" vertical="bottom"/>
    </xf>
    <xf numFmtId="0" fontId="16" fillId="46" borderId="27" applyAlignment="1" pivotButton="0" quotePrefix="0" xfId="0">
      <alignment horizontal="general" vertical="bottom"/>
    </xf>
    <xf numFmtId="0" fontId="16" fillId="34" borderId="37" applyAlignment="1" pivotButton="0" quotePrefix="0" xfId="0">
      <alignment horizontal="general" vertical="bottom"/>
    </xf>
    <xf numFmtId="0" fontId="16" fillId="45" borderId="38" applyAlignment="1" pivotButton="0" quotePrefix="0" xfId="0">
      <alignment horizontal="general" vertical="bottom"/>
    </xf>
    <xf numFmtId="0" fontId="16" fillId="22" borderId="44" applyAlignment="1" pivotButton="0" quotePrefix="0" xfId="0">
      <alignment horizontal="general" vertical="bottom"/>
    </xf>
    <xf numFmtId="0" fontId="16" fillId="42" borderId="37" applyAlignment="1" pivotButton="0" quotePrefix="0" xfId="0">
      <alignment horizontal="general" vertical="bottom"/>
    </xf>
    <xf numFmtId="0" fontId="16" fillId="46" borderId="31" applyAlignment="1" pivotButton="0" quotePrefix="0" xfId="0">
      <alignment horizontal="general" vertical="bottom"/>
    </xf>
    <xf numFmtId="0" fontId="16" fillId="25" borderId="51" applyAlignment="1" pivotButton="0" quotePrefix="0" xfId="0">
      <alignment horizontal="general" vertical="bottom"/>
    </xf>
    <xf numFmtId="0" fontId="16" fillId="22" borderId="36" applyAlignment="1" pivotButton="0" quotePrefix="0" xfId="0">
      <alignment horizontal="general" vertical="bottom"/>
    </xf>
    <xf numFmtId="0" fontId="16" fillId="42" borderId="56" applyAlignment="1" pivotButton="0" quotePrefix="0" xfId="0">
      <alignment horizontal="general" vertical="bottom"/>
    </xf>
    <xf numFmtId="0" fontId="16" fillId="26" borderId="46" applyAlignment="1" pivotButton="0" quotePrefix="0" xfId="0">
      <alignment horizontal="general" vertical="bottom"/>
    </xf>
    <xf numFmtId="0" fontId="16" fillId="46" borderId="36" applyAlignment="1" pivotButton="0" quotePrefix="0" xfId="0">
      <alignment horizontal="general" vertical="bottom"/>
    </xf>
    <xf numFmtId="0" fontId="16" fillId="42" borderId="27" applyAlignment="1" pivotButton="0" quotePrefix="0" xfId="0">
      <alignment horizontal="general" vertical="bottom"/>
    </xf>
    <xf numFmtId="0" fontId="16" fillId="5" borderId="39" applyAlignment="1" pivotButton="0" quotePrefix="0" xfId="0">
      <alignment horizontal="general" vertical="bottom"/>
    </xf>
    <xf numFmtId="0" fontId="16" fillId="22" borderId="50" applyAlignment="1" pivotButton="0" quotePrefix="0" xfId="0">
      <alignment horizontal="general" vertical="bottom"/>
    </xf>
    <xf numFmtId="0" fontId="16" fillId="34" borderId="43" applyAlignment="1" pivotButton="0" quotePrefix="0" xfId="0">
      <alignment horizontal="general" vertical="bottom"/>
    </xf>
    <xf numFmtId="0" fontId="16" fillId="45" borderId="40" applyAlignment="1" pivotButton="0" quotePrefix="0" xfId="0">
      <alignment horizontal="general" vertical="bottom"/>
    </xf>
    <xf numFmtId="0" fontId="16" fillId="8" borderId="41" applyAlignment="1" pivotButton="0" quotePrefix="0" xfId="0">
      <alignment horizontal="general" vertical="bottom"/>
    </xf>
    <xf numFmtId="0" fontId="16" fillId="46" borderId="41" applyAlignment="1" pivotButton="0" quotePrefix="0" xfId="0">
      <alignment horizontal="general" vertical="bottom"/>
    </xf>
    <xf numFmtId="0" fontId="16" fillId="42" borderId="31" applyAlignment="1" pivotButton="0" quotePrefix="0" xfId="0">
      <alignment horizontal="general" vertical="bottom"/>
    </xf>
    <xf numFmtId="0" fontId="16" fillId="8" borderId="35" applyAlignment="1" pivotButton="0" quotePrefix="0" xfId="0">
      <alignment horizontal="general" vertical="bottom"/>
    </xf>
    <xf numFmtId="0" fontId="16" fillId="47" borderId="48" applyAlignment="1" pivotButton="0" quotePrefix="0" xfId="0">
      <alignment horizontal="general" vertical="bottom"/>
    </xf>
    <xf numFmtId="0" fontId="16" fillId="8" borderId="43" applyAlignment="1" pivotButton="0" quotePrefix="0" xfId="0">
      <alignment horizontal="general" vertical="bottom"/>
    </xf>
    <xf numFmtId="0" fontId="16" fillId="47" borderId="44" applyAlignment="1" pivotButton="0" quotePrefix="0" xfId="0">
      <alignment horizontal="general" vertical="bottom"/>
    </xf>
    <xf numFmtId="0" fontId="16" fillId="47" borderId="38" applyAlignment="1" pivotButton="0" quotePrefix="0" xfId="0">
      <alignment horizontal="general" vertical="bottom"/>
    </xf>
    <xf numFmtId="0" fontId="16" fillId="34" borderId="35" applyAlignment="1" pivotButton="0" quotePrefix="0" xfId="0">
      <alignment horizontal="general" vertical="bottom"/>
    </xf>
    <xf numFmtId="0" fontId="16" fillId="23" borderId="45" applyAlignment="1" pivotButton="0" quotePrefix="0" xfId="0">
      <alignment horizontal="general" vertical="bottom"/>
    </xf>
    <xf numFmtId="0" fontId="16" fillId="45" borderId="48" applyAlignment="1" pivotButton="0" quotePrefix="0" xfId="0">
      <alignment horizontal="general" vertical="bottom"/>
    </xf>
    <xf numFmtId="0" fontId="16" fillId="47" borderId="41" applyAlignment="1" pivotButton="0" quotePrefix="0" xfId="0">
      <alignment horizontal="general" vertical="bottom"/>
    </xf>
    <xf numFmtId="0" fontId="16" fillId="46" borderId="35" applyAlignment="1" pivotButton="0" quotePrefix="0" xfId="0">
      <alignment horizontal="general" vertical="bottom"/>
    </xf>
    <xf numFmtId="0" fontId="16" fillId="42" borderId="32" applyAlignment="1" pivotButton="0" quotePrefix="0" xfId="0">
      <alignment horizontal="general" vertical="bottom"/>
    </xf>
    <xf numFmtId="0" fontId="16" fillId="46" borderId="38" applyAlignment="1" pivotButton="0" quotePrefix="0" xfId="0">
      <alignment horizontal="general" vertical="bottom"/>
    </xf>
    <xf numFmtId="0" fontId="16" fillId="47" borderId="40" applyAlignment="1" pivotButton="0" quotePrefix="0" xfId="0">
      <alignment horizontal="general" vertical="bottom"/>
    </xf>
    <xf numFmtId="0" fontId="16" fillId="24" borderId="40" applyAlignment="1" pivotButton="0" quotePrefix="0" xfId="0">
      <alignment horizontal="general" vertical="bottom"/>
    </xf>
    <xf numFmtId="0" fontId="16" fillId="33" borderId="36" applyAlignment="1" pivotButton="0" quotePrefix="0" xfId="0">
      <alignment horizontal="general" vertical="bottom"/>
    </xf>
    <xf numFmtId="0" fontId="16" fillId="47" borderId="27" applyAlignment="1" pivotButton="0" quotePrefix="0" xfId="0">
      <alignment horizontal="general" vertical="bottom"/>
    </xf>
    <xf numFmtId="0" fontId="16" fillId="26" borderId="19" applyAlignment="1" pivotButton="0" quotePrefix="0" xfId="0">
      <alignment horizontal="general" vertical="bottom"/>
    </xf>
    <xf numFmtId="0" fontId="16" fillId="34" borderId="36" applyAlignment="1" pivotButton="0" quotePrefix="0" xfId="0">
      <alignment horizontal="general" vertical="bottom"/>
    </xf>
    <xf numFmtId="0" fontId="16" fillId="24" borderId="58" applyAlignment="1" pivotButton="0" quotePrefix="0" xfId="0">
      <alignment horizontal="general" vertical="bottom"/>
    </xf>
    <xf numFmtId="0" fontId="16" fillId="8" borderId="45" applyAlignment="1" pivotButton="0" quotePrefix="0" xfId="0">
      <alignment horizontal="general" vertical="bottom"/>
    </xf>
    <xf numFmtId="0" fontId="16" fillId="47" borderId="31" applyAlignment="1" pivotButton="0" quotePrefix="0" xfId="0">
      <alignment horizontal="general" vertical="bottom"/>
    </xf>
    <xf numFmtId="0" fontId="16" fillId="34" borderId="39" applyAlignment="1" pivotButton="0" quotePrefix="0" xfId="0">
      <alignment horizontal="general" vertical="bottom"/>
    </xf>
    <xf numFmtId="0" fontId="23" fillId="47" borderId="39" applyAlignment="1" pivotButton="0" quotePrefix="0" xfId="0">
      <alignment horizontal="general" vertical="bottom"/>
    </xf>
    <xf numFmtId="0" fontId="16" fillId="46" borderId="40" applyAlignment="1" pivotButton="0" quotePrefix="0" xfId="0">
      <alignment horizontal="general" vertical="bottom"/>
    </xf>
    <xf numFmtId="0" fontId="16" fillId="8" borderId="50" applyAlignment="1" pivotButton="0" quotePrefix="0" xfId="0">
      <alignment horizontal="general" vertical="bottom"/>
    </xf>
    <xf numFmtId="0" fontId="16" fillId="47" borderId="32" applyAlignment="1" pivotButton="0" quotePrefix="0" xfId="0">
      <alignment horizontal="general" vertical="bottom"/>
    </xf>
    <xf numFmtId="0" fontId="16" fillId="34" borderId="44" applyAlignment="1" pivotButton="0" quotePrefix="0" xfId="0">
      <alignment horizontal="general" vertical="bottom"/>
    </xf>
    <xf numFmtId="0" fontId="16" fillId="46" borderId="48" applyAlignment="1" pivotButton="0" quotePrefix="0" xfId="0">
      <alignment horizontal="general" vertical="bottom"/>
    </xf>
    <xf numFmtId="0" fontId="16" fillId="33" borderId="45" applyAlignment="1" pivotButton="0" quotePrefix="0" xfId="0">
      <alignment horizontal="general" vertical="bottom"/>
    </xf>
    <xf numFmtId="0" fontId="16" fillId="42" borderId="36" applyAlignment="1" pivotButton="0" quotePrefix="0" xfId="0">
      <alignment horizontal="general" vertical="bottom"/>
    </xf>
    <xf numFmtId="0" fontId="16" fillId="26" borderId="22" applyAlignment="1" pivotButton="0" quotePrefix="0" xfId="0">
      <alignment horizontal="general" vertical="bottom"/>
    </xf>
    <xf numFmtId="0" fontId="16" fillId="42" borderId="39" applyAlignment="1" pivotButton="0" quotePrefix="0" xfId="0">
      <alignment horizontal="general" vertical="bottom"/>
    </xf>
    <xf numFmtId="0" fontId="16" fillId="42" borderId="38" applyAlignment="1" pivotButton="0" quotePrefix="0" xfId="0">
      <alignment horizontal="general" vertical="bottom"/>
    </xf>
    <xf numFmtId="0" fontId="16" fillId="7" borderId="32" applyAlignment="1" pivotButton="0" quotePrefix="0" xfId="0">
      <alignment horizontal="general" vertical="bottom"/>
    </xf>
    <xf numFmtId="0" fontId="16" fillId="7" borderId="48" applyAlignment="1" pivotButton="0" quotePrefix="0" xfId="0">
      <alignment horizontal="general" vertical="bottom"/>
    </xf>
    <xf numFmtId="0" fontId="16" fillId="42" borderId="40" applyAlignment="1" pivotButton="0" quotePrefix="0" xfId="0">
      <alignment horizontal="general" vertical="bottom"/>
    </xf>
    <xf numFmtId="0" fontId="16" fillId="7" borderId="38" applyAlignment="1" pivotButton="0" quotePrefix="0" xfId="0">
      <alignment horizontal="general" vertical="bottom"/>
    </xf>
    <xf numFmtId="0" fontId="23" fillId="0" borderId="28" applyAlignment="1" pivotButton="0" quotePrefix="0" xfId="0">
      <alignment horizontal="general" vertical="bottom"/>
    </xf>
    <xf numFmtId="0" fontId="16" fillId="42" borderId="44" applyAlignment="1" pivotButton="0" quotePrefix="0" xfId="0">
      <alignment horizontal="general" vertical="bottom"/>
    </xf>
    <xf numFmtId="0" fontId="16" fillId="5" borderId="7" applyAlignment="1" pivotButton="0" quotePrefix="0" xfId="0">
      <alignment horizontal="general" vertical="bottom"/>
    </xf>
    <xf numFmtId="0" fontId="16" fillId="7" borderId="40" applyAlignment="1" pivotButton="0" quotePrefix="0" xfId="0">
      <alignment horizontal="general" vertical="bottom"/>
    </xf>
    <xf numFmtId="0" fontId="29" fillId="0" borderId="13" applyAlignment="1" pivotButton="0" quotePrefix="0" xfId="0">
      <alignment horizontal="general" vertical="bottom"/>
    </xf>
    <xf numFmtId="0" fontId="16" fillId="24" borderId="32" applyAlignment="1" pivotButton="0" quotePrefix="0" xfId="0">
      <alignment horizontal="general" vertical="bottom"/>
    </xf>
    <xf numFmtId="0" fontId="16" fillId="0" borderId="22" applyAlignment="1" pivotButton="0" quotePrefix="0" xfId="0">
      <alignment horizontal="general" vertical="bottom"/>
    </xf>
    <xf numFmtId="166" fontId="18" fillId="45" borderId="7" applyAlignment="1" pivotButton="0" quotePrefix="0" xfId="0">
      <alignment horizontal="general" vertical="bottom"/>
    </xf>
    <xf numFmtId="166" fontId="16" fillId="6" borderId="5" applyAlignment="1" pivotButton="0" quotePrefix="0" xfId="0">
      <alignment horizontal="general" vertical="bottom"/>
    </xf>
    <xf numFmtId="0" fontId="22" fillId="8" borderId="7" applyAlignment="1" pivotButton="0" quotePrefix="0" xfId="0">
      <alignment horizontal="center" vertical="bottom"/>
    </xf>
    <xf numFmtId="0" fontId="23" fillId="13" borderId="3" applyAlignment="1" pivotButton="0" quotePrefix="0" xfId="0">
      <alignment horizontal="center" vertical="bottom"/>
    </xf>
    <xf numFmtId="0" fontId="23" fillId="0" borderId="21" applyAlignment="1" pivotButton="0" quotePrefix="0" xfId="0">
      <alignment horizontal="general" vertical="bottom"/>
    </xf>
    <xf numFmtId="0" fontId="23" fillId="0" borderId="56" applyAlignment="1" pivotButton="0" quotePrefix="0" xfId="0">
      <alignment horizontal="general" vertical="bottom"/>
    </xf>
    <xf numFmtId="166" fontId="23" fillId="0" borderId="60" applyAlignment="1" pivotButton="0" quotePrefix="0" xfId="0">
      <alignment horizontal="general" vertical="bottom"/>
    </xf>
    <xf numFmtId="166" fontId="22" fillId="0" borderId="6" applyAlignment="1" pivotButton="0" quotePrefix="0" xfId="0">
      <alignment horizontal="general" vertical="bottom"/>
    </xf>
    <xf numFmtId="0" fontId="23" fillId="0" borderId="6" applyAlignment="1" pivotButton="0" quotePrefix="0" xfId="0">
      <alignment horizontal="general" vertical="bottom"/>
    </xf>
    <xf numFmtId="166" fontId="22" fillId="0" borderId="23" applyAlignment="1" pivotButton="0" quotePrefix="0" xfId="0">
      <alignment horizontal="general" vertical="bottom"/>
    </xf>
    <xf numFmtId="0" fontId="23" fillId="5" borderId="7" applyAlignment="1" pivotButton="0" quotePrefix="0" xfId="0">
      <alignment horizontal="center" vertical="bottom"/>
    </xf>
    <xf numFmtId="0" fontId="23" fillId="28" borderId="1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general" vertical="bottom"/>
    </xf>
    <xf numFmtId="0" fontId="0" fillId="0" borderId="63" pivotButton="0" quotePrefix="0" xfId="0"/>
    <xf numFmtId="0" fontId="0" fillId="0" borderId="64" pivotButton="0" quotePrefix="0" xfId="0"/>
    <xf numFmtId="0" fontId="5" fillId="2" borderId="1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3" fontId="8" fillId="3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3" fontId="13" fillId="4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15" fillId="5" borderId="2" applyAlignment="1" pivotButton="0" quotePrefix="0" xfId="0">
      <alignment horizontal="general" vertical="bottom"/>
    </xf>
    <xf numFmtId="0" fontId="15" fillId="5" borderId="3" applyAlignment="1" pivotButton="0" quotePrefix="0" xfId="0">
      <alignment horizontal="general" vertical="bottom"/>
    </xf>
    <xf numFmtId="0" fontId="15" fillId="5" borderId="4" applyAlignment="1" pivotButton="0" quotePrefix="0" xfId="0">
      <alignment horizontal="general" vertical="bottom"/>
    </xf>
    <xf numFmtId="0" fontId="16" fillId="0" borderId="5" applyAlignment="1" pivotButton="0" quotePrefix="0" xfId="0">
      <alignment horizontal="general" vertical="bottom"/>
    </xf>
    <xf numFmtId="0" fontId="17" fillId="0" borderId="5" applyAlignment="1" pivotButton="0" quotePrefix="0" xfId="0">
      <alignment horizontal="general" vertical="bottom"/>
    </xf>
    <xf numFmtId="0" fontId="16" fillId="0" borderId="6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16" fillId="6" borderId="5" applyAlignment="1" pivotButton="0" quotePrefix="0" xfId="0">
      <alignment horizontal="general" vertical="bottom"/>
    </xf>
    <xf numFmtId="165" fontId="16" fillId="6" borderId="5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8" fillId="0" borderId="7" applyAlignment="1" pivotButton="0" quotePrefix="0" xfId="0">
      <alignment horizontal="center" vertical="bottom"/>
    </xf>
    <xf numFmtId="166" fontId="18" fillId="0" borderId="7" applyAlignment="1" pivotButton="0" quotePrefix="0" xfId="0">
      <alignment horizontal="center" vertical="bottom"/>
    </xf>
    <xf numFmtId="0" fontId="19" fillId="0" borderId="0" applyAlignment="1" pivotButton="0" quotePrefix="0" xfId="0">
      <alignment horizontal="general" vertical="bottom"/>
    </xf>
    <xf numFmtId="0" fontId="16" fillId="0" borderId="8" applyAlignment="1" pivotButton="0" quotePrefix="0" xfId="0">
      <alignment horizontal="general" vertical="bottom"/>
    </xf>
    <xf numFmtId="166" fontId="16" fillId="0" borderId="8" applyAlignment="1" pivotButton="0" quotePrefix="0" xfId="0">
      <alignment horizontal="general" vertical="bottom"/>
    </xf>
    <xf numFmtId="0" fontId="16" fillId="7" borderId="5" applyAlignment="1" pivotButton="0" quotePrefix="0" xfId="0">
      <alignment horizontal="general" vertical="bottom"/>
    </xf>
    <xf numFmtId="166" fontId="16" fillId="7" borderId="5" applyAlignment="1" pivotButton="0" quotePrefix="0" xfId="0">
      <alignment horizontal="general" vertical="bottom"/>
    </xf>
    <xf numFmtId="166" fontId="16" fillId="0" borderId="5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16" fillId="8" borderId="5" applyAlignment="1" pivotButton="0" quotePrefix="0" xfId="0">
      <alignment horizontal="general" vertical="bottom"/>
    </xf>
    <xf numFmtId="0" fontId="16" fillId="9" borderId="5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bottom"/>
    </xf>
    <xf numFmtId="0" fontId="16" fillId="10" borderId="5" applyAlignment="1" pivotButton="0" quotePrefix="0" xfId="0">
      <alignment horizontal="general" vertical="bottom"/>
    </xf>
    <xf numFmtId="166" fontId="16" fillId="10" borderId="5" applyAlignment="1" pivotButton="0" quotePrefix="0" xfId="0">
      <alignment horizontal="general" vertical="bottom"/>
    </xf>
    <xf numFmtId="166" fontId="16" fillId="0" borderId="5" applyAlignment="1" pivotButton="0" quotePrefix="0" xfId="0">
      <alignment horizontal="center" vertical="bottom"/>
    </xf>
    <xf numFmtId="166" fontId="16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166" fontId="21" fillId="0" borderId="0" applyAlignment="1" pivotButton="0" quotePrefix="0" xfId="0">
      <alignment horizontal="general" vertical="bottom"/>
    </xf>
    <xf numFmtId="0" fontId="15" fillId="8" borderId="9" applyAlignment="1" pivotButton="0" quotePrefix="0" xfId="0">
      <alignment horizontal="center" vertical="bottom"/>
    </xf>
    <xf numFmtId="0" fontId="0" fillId="0" borderId="43" pivotButton="0" quotePrefix="0" xfId="0"/>
    <xf numFmtId="0" fontId="0" fillId="0" borderId="16" pivotButton="0" quotePrefix="0" xfId="0"/>
    <xf numFmtId="0" fontId="22" fillId="11" borderId="9" applyAlignment="1" pivotButton="0" quotePrefix="0" xfId="0">
      <alignment horizontal="center" vertical="bottom"/>
    </xf>
    <xf numFmtId="0" fontId="16" fillId="12" borderId="10" applyAlignment="1" pivotButton="0" quotePrefix="0" xfId="0">
      <alignment horizontal="center" vertical="bottom"/>
    </xf>
    <xf numFmtId="0" fontId="0" fillId="0" borderId="51" pivotButton="0" quotePrefix="0" xfId="0"/>
    <xf numFmtId="0" fontId="0" fillId="0" borderId="66" pivotButton="0" quotePrefix="0" xfId="0"/>
    <xf numFmtId="0" fontId="23" fillId="13" borderId="10" applyAlignment="1" pivotButton="0" quotePrefix="0" xfId="0">
      <alignment horizontal="center" vertical="bottom"/>
    </xf>
    <xf numFmtId="0" fontId="16" fillId="0" borderId="11" applyAlignment="1" pivotButton="0" quotePrefix="0" xfId="0">
      <alignment horizontal="general" vertical="bottom"/>
    </xf>
    <xf numFmtId="166" fontId="16" fillId="0" borderId="12" applyAlignment="1" pivotButton="0" quotePrefix="0" xfId="0">
      <alignment horizontal="general" vertical="bottom"/>
    </xf>
    <xf numFmtId="0" fontId="23" fillId="0" borderId="11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66" fontId="23" fillId="0" borderId="12" applyAlignment="1" pivotButton="0" quotePrefix="0" xfId="0">
      <alignment horizontal="general" vertical="bottom"/>
    </xf>
    <xf numFmtId="167" fontId="16" fillId="0" borderId="11" applyAlignment="1" pivotButton="0" quotePrefix="0" xfId="0">
      <alignment horizontal="general" vertical="bottom"/>
    </xf>
    <xf numFmtId="166" fontId="23" fillId="0" borderId="0" applyAlignment="1" pivotButton="0" quotePrefix="0" xfId="0">
      <alignment horizontal="general" vertical="bottom"/>
    </xf>
    <xf numFmtId="166" fontId="23" fillId="0" borderId="5" applyAlignment="1" pivotButton="0" quotePrefix="0" xfId="0">
      <alignment horizontal="general" vertical="bottom"/>
    </xf>
    <xf numFmtId="167" fontId="23" fillId="0" borderId="11" applyAlignment="1" pivotButton="0" quotePrefix="0" xfId="0">
      <alignment horizontal="general" vertical="bottom"/>
    </xf>
    <xf numFmtId="166" fontId="15" fillId="0" borderId="13" applyAlignment="1" pivotButton="0" quotePrefix="0" xfId="0">
      <alignment horizontal="general" vertical="bottom"/>
    </xf>
    <xf numFmtId="166" fontId="22" fillId="0" borderId="13" applyAlignment="1" pivotButton="0" quotePrefix="0" xfId="0">
      <alignment horizontal="general" vertical="bottom"/>
    </xf>
    <xf numFmtId="166" fontId="22" fillId="0" borderId="7" applyAlignment="1" pivotButton="0" quotePrefix="0" xfId="0">
      <alignment horizontal="general" vertical="bottom"/>
    </xf>
    <xf numFmtId="0" fontId="16" fillId="5" borderId="10" applyAlignment="1" pivotButton="0" quotePrefix="0" xfId="0">
      <alignment horizontal="center" vertical="bottom"/>
    </xf>
    <xf numFmtId="0" fontId="23" fillId="5" borderId="10" applyAlignment="1" pivotButton="0" quotePrefix="0" xfId="0">
      <alignment horizontal="center" vertical="bottom"/>
    </xf>
    <xf numFmtId="0" fontId="16" fillId="5" borderId="14" applyAlignment="1" pivotButton="0" quotePrefix="0" xfId="0">
      <alignment horizontal="left" vertical="bottom"/>
    </xf>
    <xf numFmtId="166" fontId="16" fillId="5" borderId="15" applyAlignment="1" pivotButton="0" quotePrefix="0" xfId="0">
      <alignment horizontal="general" vertical="bottom"/>
    </xf>
    <xf numFmtId="0" fontId="15" fillId="14" borderId="7" applyAlignment="1" pivotButton="0" quotePrefix="0" xfId="0">
      <alignment horizontal="left" vertical="bottom"/>
    </xf>
    <xf numFmtId="0" fontId="0" fillId="0" borderId="22" pivotButton="0" quotePrefix="0" xfId="0"/>
    <xf numFmtId="166" fontId="15" fillId="14" borderId="7" applyAlignment="1" pivotButton="0" quotePrefix="0" xfId="0">
      <alignment horizontal="general" vertical="bottom"/>
    </xf>
    <xf numFmtId="166" fontId="23" fillId="0" borderId="6" applyAlignment="1" pivotButton="0" quotePrefix="0" xfId="0">
      <alignment horizontal="general" vertical="bottom"/>
    </xf>
    <xf numFmtId="166" fontId="16" fillId="0" borderId="16" applyAlignment="1" pivotButton="0" quotePrefix="0" xfId="0">
      <alignment horizontal="general" vertical="bottom"/>
    </xf>
    <xf numFmtId="166" fontId="23" fillId="0" borderId="17" applyAlignment="1" pivotButton="0" quotePrefix="0" xfId="0">
      <alignment horizontal="general" vertical="bottom"/>
    </xf>
    <xf numFmtId="166" fontId="15" fillId="0" borderId="7" applyAlignment="1" pivotButton="0" quotePrefix="0" xfId="0">
      <alignment horizontal="general" vertical="bottom"/>
    </xf>
    <xf numFmtId="0" fontId="23" fillId="15" borderId="10" applyAlignment="1" pivotButton="0" quotePrefix="0" xfId="0">
      <alignment horizontal="center" vertical="bottom"/>
    </xf>
    <xf numFmtId="0" fontId="23" fillId="15" borderId="18" applyAlignment="1" pivotButton="0" quotePrefix="0" xfId="0">
      <alignment horizontal="left" vertical="bottom"/>
    </xf>
    <xf numFmtId="166" fontId="23" fillId="15" borderId="15" applyAlignment="1" pivotButton="0" quotePrefix="0" xfId="0">
      <alignment horizontal="general" vertical="bottom"/>
    </xf>
    <xf numFmtId="0" fontId="22" fillId="16" borderId="7" applyAlignment="1" pivotButton="0" quotePrefix="0" xfId="0">
      <alignment horizontal="left" vertical="bottom"/>
    </xf>
    <xf numFmtId="166" fontId="22" fillId="16" borderId="19" applyAlignment="1" pivotButton="0" quotePrefix="0" xfId="0">
      <alignment horizontal="general" vertical="bottom"/>
    </xf>
    <xf numFmtId="0" fontId="24" fillId="6" borderId="7" applyAlignment="1" pivotButton="0" quotePrefix="0" xfId="0">
      <alignment horizontal="general" vertical="bottom"/>
    </xf>
    <xf numFmtId="166" fontId="24" fillId="6" borderId="7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5" fillId="0" borderId="6" applyAlignment="1" pivotButton="0" quotePrefix="0" xfId="0">
      <alignment horizontal="general" vertical="bottom"/>
    </xf>
    <xf numFmtId="0" fontId="25" fillId="0" borderId="21" applyAlignment="1" pivotButton="0" quotePrefix="0" xfId="0">
      <alignment horizontal="general" vertical="bottom"/>
    </xf>
    <xf numFmtId="0" fontId="25" fillId="17" borderId="7" applyAlignment="1" pivotButton="0" quotePrefix="0" xfId="0">
      <alignment horizontal="general" vertical="bottom"/>
    </xf>
    <xf numFmtId="0" fontId="25" fillId="17" borderId="22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166" fontId="16" fillId="0" borderId="20" applyAlignment="1" pivotButton="0" quotePrefix="0" xfId="0">
      <alignment horizontal="general" vertical="bottom"/>
    </xf>
    <xf numFmtId="166" fontId="16" fillId="0" borderId="11" applyAlignment="1" pivotButton="0" quotePrefix="0" xfId="0">
      <alignment horizontal="general" vertical="bottom"/>
    </xf>
    <xf numFmtId="166" fontId="16" fillId="0" borderId="7" applyAlignment="1" pivotButton="0" quotePrefix="0" xfId="0">
      <alignment horizontal="general" vertical="bottom"/>
    </xf>
    <xf numFmtId="166" fontId="16" fillId="0" borderId="23" applyAlignment="1" pivotButton="0" quotePrefix="0" xfId="0">
      <alignment horizontal="general" vertical="bottom"/>
    </xf>
    <xf numFmtId="0" fontId="0" fillId="18" borderId="0" applyAlignment="1" pivotButton="0" quotePrefix="0" xfId="0">
      <alignment horizontal="general" vertical="bottom"/>
    </xf>
    <xf numFmtId="0" fontId="15" fillId="18" borderId="2" applyAlignment="1" pivotButton="0" quotePrefix="0" xfId="0">
      <alignment horizontal="general" vertical="bottom"/>
    </xf>
    <xf numFmtId="0" fontId="15" fillId="18" borderId="24" applyAlignment="1" pivotButton="0" quotePrefix="0" xfId="0">
      <alignment horizontal="general" vertical="bottom"/>
    </xf>
    <xf numFmtId="0" fontId="16" fillId="18" borderId="25" applyAlignment="1" pivotButton="0" quotePrefix="0" xfId="0">
      <alignment horizontal="general" vertical="bottom"/>
    </xf>
    <xf numFmtId="0" fontId="16" fillId="18" borderId="26" applyAlignment="1" pivotButton="0" quotePrefix="0" xfId="0">
      <alignment horizontal="general" vertical="bottom"/>
    </xf>
    <xf numFmtId="0" fontId="16" fillId="18" borderId="27" applyAlignment="1" pivotButton="0" quotePrefix="0" xfId="0">
      <alignment horizontal="general" vertical="bottom"/>
    </xf>
    <xf numFmtId="0" fontId="16" fillId="18" borderId="28" applyAlignment="1" pivotButton="0" quotePrefix="0" xfId="0">
      <alignment horizontal="general" vertical="bottom"/>
    </xf>
    <xf numFmtId="0" fontId="16" fillId="18" borderId="23" applyAlignment="1" pivotButton="0" quotePrefix="0" xfId="0">
      <alignment horizontal="general" vertical="bottom"/>
    </xf>
    <xf numFmtId="0" fontId="16" fillId="18" borderId="7" applyAlignment="1" pivotButton="0" quotePrefix="0" xfId="0">
      <alignment horizontal="general" vertical="bottom"/>
    </xf>
    <xf numFmtId="0" fontId="16" fillId="18" borderId="0" applyAlignment="1" pivotButton="0" quotePrefix="0" xfId="0">
      <alignment horizontal="general" vertical="bottom"/>
    </xf>
    <xf numFmtId="167" fontId="16" fillId="19" borderId="29" applyAlignment="1" pivotButton="0" quotePrefix="0" xfId="0">
      <alignment horizontal="general" vertical="bottom"/>
    </xf>
    <xf numFmtId="0" fontId="16" fillId="19" borderId="30" applyAlignment="1" pivotButton="0" quotePrefix="0" xfId="0">
      <alignment horizontal="general" vertical="bottom"/>
    </xf>
    <xf numFmtId="0" fontId="16" fillId="0" borderId="25" applyAlignment="1" pivotButton="0" quotePrefix="0" xfId="0">
      <alignment horizontal="general" vertical="bottom"/>
    </xf>
    <xf numFmtId="0" fontId="16" fillId="12" borderId="27" applyAlignment="1" pivotButton="0" quotePrefix="0" xfId="0">
      <alignment horizontal="general" vertical="bottom"/>
    </xf>
    <xf numFmtId="0" fontId="16" fillId="20" borderId="27" applyAlignment="1" pivotButton="0" quotePrefix="0" xfId="0">
      <alignment horizontal="general" vertical="bottom"/>
    </xf>
    <xf numFmtId="0" fontId="16" fillId="0" borderId="26" applyAlignment="1" pivotButton="0" quotePrefix="0" xfId="0">
      <alignment horizontal="general" vertical="bottom"/>
    </xf>
    <xf numFmtId="0" fontId="16" fillId="21" borderId="31" applyAlignment="1" pivotButton="0" quotePrefix="0" xfId="0">
      <alignment horizontal="general" vertical="bottom"/>
    </xf>
    <xf numFmtId="0" fontId="16" fillId="22" borderId="27" applyAlignment="1" pivotButton="0" quotePrefix="0" xfId="0">
      <alignment horizontal="general" vertical="bottom"/>
    </xf>
    <xf numFmtId="0" fontId="16" fillId="0" borderId="28" applyAlignment="1" pivotButton="0" quotePrefix="0" xfId="0">
      <alignment horizontal="general" vertical="bottom"/>
    </xf>
    <xf numFmtId="0" fontId="16" fillId="23" borderId="27" applyAlignment="1" pivotButton="0" quotePrefix="0" xfId="0">
      <alignment horizontal="general" vertical="bottom"/>
    </xf>
    <xf numFmtId="0" fontId="16" fillId="24" borderId="27" applyAlignment="1" pivotButton="0" quotePrefix="0" xfId="0">
      <alignment horizontal="general" vertical="bottom"/>
    </xf>
    <xf numFmtId="0" fontId="16" fillId="25" borderId="7" applyAlignment="1" pivotButton="0" quotePrefix="0" xfId="0">
      <alignment horizontal="general" vertical="bottom"/>
    </xf>
    <xf numFmtId="0" fontId="16" fillId="23" borderId="32" applyAlignment="1" pivotButton="0" quotePrefix="0" xfId="0">
      <alignment horizontal="general" vertical="bottom"/>
    </xf>
    <xf numFmtId="167" fontId="16" fillId="19" borderId="33" applyAlignment="1" pivotButton="0" quotePrefix="0" xfId="0">
      <alignment horizontal="general" vertical="bottom"/>
    </xf>
    <xf numFmtId="0" fontId="16" fillId="19" borderId="34" applyAlignment="1" pivotButton="0" quotePrefix="0" xfId="0">
      <alignment horizontal="general" vertical="bottom"/>
    </xf>
    <xf numFmtId="0" fontId="16" fillId="12" borderId="32" applyAlignment="1" pivotButton="0" quotePrefix="0" xfId="0">
      <alignment horizontal="general" vertical="bottom"/>
    </xf>
    <xf numFmtId="0" fontId="16" fillId="20" borderId="31" applyAlignment="1" pivotButton="0" quotePrefix="0" xfId="0">
      <alignment horizontal="general" vertical="bottom"/>
    </xf>
    <xf numFmtId="0" fontId="16" fillId="22" borderId="31" applyAlignment="1" pivotButton="0" quotePrefix="0" xfId="0">
      <alignment horizontal="general" vertical="bottom"/>
    </xf>
    <xf numFmtId="0" fontId="16" fillId="24" borderId="31" applyAlignment="1" pivotButton="0" quotePrefix="0" xfId="0">
      <alignment horizontal="general" vertical="bottom"/>
    </xf>
    <xf numFmtId="0" fontId="16" fillId="26" borderId="35" applyAlignment="1" pivotButton="0" quotePrefix="0" xfId="0">
      <alignment horizontal="general" vertical="bottom"/>
    </xf>
    <xf numFmtId="0" fontId="16" fillId="24" borderId="36" applyAlignment="1" pivotButton="0" quotePrefix="0" xfId="0">
      <alignment horizontal="general" vertical="bottom"/>
    </xf>
    <xf numFmtId="0" fontId="16" fillId="8" borderId="27" applyAlignment="1" pivotButton="0" quotePrefix="0" xfId="0">
      <alignment horizontal="general" vertical="bottom"/>
    </xf>
    <xf numFmtId="0" fontId="16" fillId="25" borderId="27" applyAlignment="1" pivotButton="0" quotePrefix="0" xfId="0">
      <alignment horizontal="general" vertical="bottom"/>
    </xf>
    <xf numFmtId="0" fontId="16" fillId="23" borderId="31" applyAlignment="1" pivotButton="0" quotePrefix="0" xfId="0">
      <alignment horizontal="general" vertical="bottom"/>
    </xf>
    <xf numFmtId="0" fontId="16" fillId="12" borderId="31" applyAlignment="1" pivotButton="0" quotePrefix="0" xfId="0">
      <alignment horizontal="general" vertical="bottom"/>
    </xf>
    <xf numFmtId="0" fontId="16" fillId="20" borderId="32" applyAlignment="1" pivotButton="0" quotePrefix="0" xfId="0">
      <alignment horizontal="general" vertical="bottom"/>
    </xf>
    <xf numFmtId="0" fontId="16" fillId="26" borderId="37" applyAlignment="1" pivotButton="0" quotePrefix="0" xfId="0">
      <alignment horizontal="general" vertical="bottom"/>
    </xf>
    <xf numFmtId="0" fontId="16" fillId="8" borderId="31" applyAlignment="1" pivotButton="0" quotePrefix="0" xfId="0">
      <alignment horizontal="general" vertical="bottom"/>
    </xf>
    <xf numFmtId="0" fontId="16" fillId="25" borderId="31" applyAlignment="1" pivotButton="0" quotePrefix="0" xfId="0">
      <alignment horizontal="general" vertical="bottom"/>
    </xf>
    <xf numFmtId="0" fontId="16" fillId="27" borderId="27" applyAlignment="1" pivotButton="0" quotePrefix="0" xfId="0">
      <alignment horizontal="general" vertical="bottom"/>
    </xf>
    <xf numFmtId="0" fontId="16" fillId="12" borderId="38" applyAlignment="1" pivotButton="0" quotePrefix="0" xfId="0">
      <alignment horizontal="general" vertical="bottom"/>
    </xf>
    <xf numFmtId="0" fontId="16" fillId="23" borderId="39" applyAlignment="1" pivotButton="0" quotePrefix="0" xfId="0">
      <alignment horizontal="general" vertical="bottom"/>
    </xf>
    <xf numFmtId="0" fontId="16" fillId="28" borderId="27" applyAlignment="1" pivotButton="0" quotePrefix="0" xfId="0">
      <alignment horizontal="general" vertical="bottom"/>
    </xf>
    <xf numFmtId="0" fontId="16" fillId="27" borderId="38" applyAlignment="1" pivotButton="0" quotePrefix="0" xfId="0">
      <alignment horizontal="general" vertical="bottom"/>
    </xf>
    <xf numFmtId="0" fontId="16" fillId="12" borderId="40" applyAlignment="1" pivotButton="0" quotePrefix="0" xfId="0">
      <alignment horizontal="general" vertical="bottom"/>
    </xf>
    <xf numFmtId="0" fontId="16" fillId="24" borderId="41" applyAlignment="1" pivotButton="0" quotePrefix="0" xfId="0">
      <alignment horizontal="general" vertical="bottom"/>
    </xf>
    <xf numFmtId="0" fontId="0" fillId="0" borderId="42" applyAlignment="1" pivotButton="0" quotePrefix="0" xfId="0">
      <alignment horizontal="general" vertical="bottom"/>
    </xf>
    <xf numFmtId="0" fontId="16" fillId="28" borderId="31" applyAlignment="1" pivotButton="0" quotePrefix="0" xfId="0">
      <alignment horizontal="general" vertical="bottom"/>
    </xf>
    <xf numFmtId="0" fontId="16" fillId="26" borderId="43" applyAlignment="1" pivotButton="0" quotePrefix="0" xfId="0">
      <alignment horizontal="general" vertical="bottom"/>
    </xf>
    <xf numFmtId="0" fontId="16" fillId="5" borderId="44" applyAlignment="1" pivotButton="0" quotePrefix="0" xfId="0">
      <alignment horizontal="general" vertical="bottom"/>
    </xf>
    <xf numFmtId="0" fontId="16" fillId="8" borderId="32" applyAlignment="1" pivotButton="0" quotePrefix="0" xfId="0">
      <alignment horizontal="general" vertical="bottom"/>
    </xf>
    <xf numFmtId="0" fontId="16" fillId="25" borderId="32" applyAlignment="1" pivotButton="0" quotePrefix="0" xfId="0">
      <alignment horizontal="general" vertical="bottom"/>
    </xf>
    <xf numFmtId="0" fontId="16" fillId="22" borderId="45" applyAlignment="1" pivotButton="0" quotePrefix="0" xfId="0">
      <alignment horizontal="general" vertical="bottom"/>
    </xf>
    <xf numFmtId="0" fontId="16" fillId="5" borderId="31" applyAlignment="1" pivotButton="0" quotePrefix="0" xfId="0">
      <alignment horizontal="general" vertical="bottom"/>
    </xf>
    <xf numFmtId="0" fontId="16" fillId="0" borderId="46" applyAlignment="1" pivotButton="0" quotePrefix="0" xfId="0">
      <alignment horizontal="general" vertical="bottom"/>
    </xf>
    <xf numFmtId="0" fontId="16" fillId="27" borderId="40" applyAlignment="1" pivotButton="0" quotePrefix="0" xfId="0">
      <alignment horizontal="general" vertical="bottom"/>
    </xf>
    <xf numFmtId="0" fontId="16" fillId="0" borderId="23" applyAlignment="1" pivotButton="0" quotePrefix="0" xfId="0">
      <alignment horizontal="general" vertical="bottom"/>
    </xf>
    <xf numFmtId="0" fontId="16" fillId="23" borderId="44" applyAlignment="1" pivotButton="0" quotePrefix="0" xfId="0">
      <alignment horizontal="general" vertical="bottom"/>
    </xf>
    <xf numFmtId="0" fontId="16" fillId="0" borderId="47" applyAlignment="1" pivotButton="0" quotePrefix="0" xfId="0">
      <alignment horizontal="general" vertical="bottom"/>
    </xf>
    <xf numFmtId="0" fontId="16" fillId="23" borderId="36" applyAlignment="1" pivotButton="0" quotePrefix="0" xfId="0">
      <alignment horizontal="general" vertical="bottom"/>
    </xf>
    <xf numFmtId="0" fontId="16" fillId="5" borderId="32" applyAlignment="1" pivotButton="0" quotePrefix="0" xfId="0">
      <alignment horizontal="general" vertical="bottom"/>
    </xf>
    <xf numFmtId="0" fontId="16" fillId="20" borderId="38" applyAlignment="1" pivotButton="0" quotePrefix="0" xfId="0">
      <alignment horizontal="general" vertical="bottom"/>
    </xf>
    <xf numFmtId="0" fontId="16" fillId="5" borderId="27" applyAlignment="1" pivotButton="0" quotePrefix="0" xfId="0">
      <alignment horizontal="general" vertical="bottom"/>
    </xf>
    <xf numFmtId="0" fontId="16" fillId="22" borderId="32" applyAlignment="1" pivotButton="0" quotePrefix="0" xfId="0">
      <alignment horizontal="general" vertical="bottom"/>
    </xf>
    <xf numFmtId="0" fontId="16" fillId="0" borderId="38" applyAlignment="1" pivotButton="0" quotePrefix="0" xfId="0">
      <alignment horizontal="general" vertical="bottom"/>
    </xf>
    <xf numFmtId="0" fontId="16" fillId="29" borderId="7" applyAlignment="1" pivotButton="0" quotePrefix="0" xfId="0">
      <alignment horizontal="general" vertical="bottom"/>
    </xf>
    <xf numFmtId="0" fontId="16" fillId="23" borderId="23" applyAlignment="1" pivotButton="0" quotePrefix="0" xfId="0">
      <alignment horizontal="general" vertical="bottom"/>
    </xf>
    <xf numFmtId="0" fontId="16" fillId="20" borderId="40" applyAlignment="1" pivotButton="0" quotePrefix="0" xfId="0">
      <alignment horizontal="general" vertical="bottom"/>
    </xf>
    <xf numFmtId="0" fontId="16" fillId="26" borderId="27" applyAlignment="1" pivotButton="0" quotePrefix="0" xfId="0">
      <alignment horizontal="general" vertical="bottom"/>
    </xf>
    <xf numFmtId="0" fontId="16" fillId="12" borderId="36" applyAlignment="1" pivotButton="0" quotePrefix="0" xfId="0">
      <alignment horizontal="general" vertical="bottom"/>
    </xf>
    <xf numFmtId="0" fontId="16" fillId="0" borderId="27" applyAlignment="1" pivotButton="0" quotePrefix="0" xfId="0">
      <alignment horizontal="general" vertical="bottom"/>
    </xf>
    <xf numFmtId="0" fontId="16" fillId="26" borderId="31" applyAlignment="1" pivotButton="0" quotePrefix="0" xfId="0">
      <alignment horizontal="general" vertical="bottom"/>
    </xf>
    <xf numFmtId="0" fontId="16" fillId="0" borderId="31" applyAlignment="1" pivotButton="0" quotePrefix="0" xfId="0">
      <alignment horizontal="general" vertical="bottom"/>
    </xf>
    <xf numFmtId="0" fontId="16" fillId="20" borderId="48" applyAlignment="1" pivotButton="0" quotePrefix="0" xfId="0">
      <alignment horizontal="general" vertical="bottom"/>
    </xf>
    <xf numFmtId="0" fontId="16" fillId="26" borderId="32" applyAlignment="1" pivotButton="0" quotePrefix="0" xfId="0">
      <alignment horizontal="general" vertical="bottom"/>
    </xf>
    <xf numFmtId="0" fontId="16" fillId="5" borderId="48" applyAlignment="1" pivotButton="0" quotePrefix="0" xfId="0">
      <alignment horizontal="general" vertical="bottom"/>
    </xf>
    <xf numFmtId="0" fontId="16" fillId="8" borderId="48" applyAlignment="1" pivotButton="0" quotePrefix="0" xfId="0">
      <alignment horizontal="general" vertical="bottom"/>
    </xf>
    <xf numFmtId="0" fontId="16" fillId="5" borderId="38" applyAlignment="1" pivotButton="0" quotePrefix="0" xfId="0">
      <alignment horizontal="general" vertical="bottom"/>
    </xf>
    <xf numFmtId="0" fontId="16" fillId="8" borderId="38" applyAlignment="1" pivotButton="0" quotePrefix="0" xfId="0">
      <alignment horizontal="general" vertical="bottom"/>
    </xf>
    <xf numFmtId="0" fontId="16" fillId="0" borderId="45" applyAlignment="1" pivotButton="0" quotePrefix="0" xfId="0">
      <alignment horizontal="general" vertical="bottom"/>
    </xf>
    <xf numFmtId="0" fontId="16" fillId="0" borderId="32" applyAlignment="1" pivotButton="0" quotePrefix="0" xfId="0">
      <alignment horizontal="general" vertical="bottom"/>
    </xf>
    <xf numFmtId="167" fontId="16" fillId="19" borderId="49" applyAlignment="1" pivotButton="0" quotePrefix="0" xfId="0">
      <alignment horizontal="general" vertical="bottom"/>
    </xf>
    <xf numFmtId="0" fontId="16" fillId="19" borderId="21" applyAlignment="1" pivotButton="0" quotePrefix="0" xfId="0">
      <alignment horizontal="general" vertical="bottom"/>
    </xf>
    <xf numFmtId="0" fontId="16" fillId="28" borderId="32" applyAlignment="1" pivotButton="0" quotePrefix="0" xfId="0">
      <alignment horizontal="general" vertical="bottom"/>
    </xf>
    <xf numFmtId="0" fontId="16" fillId="23" borderId="41" applyAlignment="1" pivotButton="0" quotePrefix="0" xfId="0">
      <alignment horizontal="general" vertical="bottom"/>
    </xf>
    <xf numFmtId="0" fontId="16" fillId="0" borderId="13" applyAlignment="1" pivotButton="0" quotePrefix="0" xfId="0">
      <alignment horizontal="general" vertical="bottom"/>
    </xf>
    <xf numFmtId="0" fontId="16" fillId="12" borderId="41" applyAlignment="1" pivotButton="0" quotePrefix="0" xfId="0">
      <alignment horizontal="general" vertical="bottom"/>
    </xf>
    <xf numFmtId="0" fontId="15" fillId="0" borderId="15" applyAlignment="1" pivotButton="0" quotePrefix="0" xfId="0">
      <alignment horizontal="general" vertical="bottom"/>
    </xf>
    <xf numFmtId="0" fontId="15" fillId="0" borderId="14" applyAlignment="1" pivotButton="0" quotePrefix="0" xfId="0">
      <alignment horizontal="general" vertical="bottom"/>
    </xf>
    <xf numFmtId="0" fontId="15" fillId="26" borderId="7" applyAlignment="1" pivotButton="0" quotePrefix="0" xfId="0">
      <alignment horizontal="general" vertical="bottom"/>
    </xf>
    <xf numFmtId="0" fontId="15" fillId="26" borderId="13" applyAlignment="1" pivotButton="0" quotePrefix="0" xfId="0">
      <alignment horizontal="general" vertical="bottom"/>
    </xf>
    <xf numFmtId="0" fontId="15" fillId="0" borderId="7" applyAlignment="1" pivotButton="0" quotePrefix="0" xfId="0">
      <alignment horizontal="general" vertical="bottom"/>
    </xf>
    <xf numFmtId="0" fontId="15" fillId="12" borderId="13" applyAlignment="1" pivotButton="0" quotePrefix="0" xfId="0">
      <alignment horizontal="general" vertical="bottom"/>
    </xf>
    <xf numFmtId="0" fontId="15" fillId="12" borderId="7" applyAlignment="1" pivotButton="0" quotePrefix="0" xfId="0">
      <alignment horizontal="general" vertical="bottom"/>
    </xf>
    <xf numFmtId="0" fontId="15" fillId="0" borderId="13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7" applyAlignment="1" pivotButton="0" quotePrefix="0" xfId="0">
      <alignment horizontal="general" vertical="bottom"/>
    </xf>
    <xf numFmtId="165" fontId="16" fillId="0" borderId="7" applyAlignment="1" pivotButton="0" quotePrefix="0" xfId="0">
      <alignment horizontal="general" vertical="bottom"/>
    </xf>
    <xf numFmtId="166" fontId="27" fillId="30" borderId="51" applyAlignment="1" pivotButton="0" quotePrefix="0" xfId="0">
      <alignment horizontal="general" vertical="bottom"/>
    </xf>
    <xf numFmtId="166" fontId="18" fillId="30" borderId="50" applyAlignment="1" pivotButton="0" quotePrefix="0" xfId="0">
      <alignment horizontal="general" vertical="bottom"/>
    </xf>
    <xf numFmtId="166" fontId="18" fillId="30" borderId="7" applyAlignment="1" pivotButton="0" quotePrefix="0" xfId="0">
      <alignment horizontal="general" vertical="bottom"/>
    </xf>
    <xf numFmtId="0" fontId="18" fillId="30" borderId="7" applyAlignment="1" pivotButton="0" quotePrefix="0" xfId="0">
      <alignment horizontal="general" vertical="bottom"/>
    </xf>
    <xf numFmtId="166" fontId="18" fillId="30" borderId="51" applyAlignment="1" pivotButton="0" quotePrefix="0" xfId="0">
      <alignment horizontal="general" vertical="bottom"/>
    </xf>
    <xf numFmtId="0" fontId="16" fillId="0" borderId="20" applyAlignment="1" pivotButton="0" quotePrefix="0" xfId="0">
      <alignment horizontal="general" vertical="bottom"/>
    </xf>
    <xf numFmtId="0" fontId="16" fillId="0" borderId="12" applyAlignment="1" pivotButton="0" quotePrefix="0" xfId="0">
      <alignment horizontal="general" vertical="bottom"/>
    </xf>
    <xf numFmtId="166" fontId="23" fillId="0" borderId="0" applyAlignment="1" pivotButton="0" quotePrefix="0" xfId="0">
      <alignment horizontal="center" vertical="bottom"/>
    </xf>
    <xf numFmtId="0" fontId="22" fillId="0" borderId="0" applyAlignment="1" pivotButton="0" quotePrefix="0" xfId="0">
      <alignment horizontal="left" vertical="bottom"/>
    </xf>
    <xf numFmtId="166" fontId="22" fillId="0" borderId="0" applyAlignment="1" pivotButton="0" quotePrefix="0" xfId="0">
      <alignment horizontal="general" vertical="bottom"/>
    </xf>
    <xf numFmtId="0" fontId="22" fillId="0" borderId="42" applyAlignment="1" pivotButton="0" quotePrefix="0" xfId="0">
      <alignment horizontal="general" vertical="bottom"/>
    </xf>
    <xf numFmtId="0" fontId="22" fillId="0" borderId="52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2" fillId="16" borderId="7" applyAlignment="1" pivotButton="0" quotePrefix="0" xfId="0">
      <alignment horizontal="general" vertical="bottom"/>
    </xf>
    <xf numFmtId="166" fontId="22" fillId="16" borderId="22" applyAlignment="1" pivotButton="0" quotePrefix="0" xfId="0">
      <alignment horizontal="general" vertical="bottom"/>
    </xf>
    <xf numFmtId="166" fontId="28" fillId="0" borderId="0" applyAlignment="1" pivotButton="0" quotePrefix="0" xfId="0">
      <alignment horizontal="general" vertical="bottom"/>
    </xf>
    <xf numFmtId="166" fontId="16" fillId="0" borderId="42" applyAlignment="1" pivotButton="0" quotePrefix="0" xfId="0">
      <alignment horizontal="general" vertical="bottom"/>
    </xf>
    <xf numFmtId="0" fontId="25" fillId="18" borderId="15" applyAlignment="1" pivotButton="0" quotePrefix="0" xfId="0">
      <alignment horizontal="general" vertical="bottom"/>
    </xf>
    <xf numFmtId="0" fontId="25" fillId="18" borderId="18" applyAlignment="1" pivotButton="0" quotePrefix="0" xfId="0">
      <alignment horizontal="general" vertical="bottom"/>
    </xf>
    <xf numFmtId="0" fontId="16" fillId="18" borderId="42" applyAlignment="1" pivotButton="0" quotePrefix="0" xfId="0">
      <alignment horizontal="general" vertical="bottom"/>
    </xf>
    <xf numFmtId="0" fontId="16" fillId="18" borderId="52" applyAlignment="1" pivotButton="0" quotePrefix="0" xfId="0">
      <alignment horizontal="general" vertical="bottom"/>
    </xf>
    <xf numFmtId="0" fontId="21" fillId="18" borderId="7" applyAlignment="1" pivotButton="0" quotePrefix="0" xfId="0">
      <alignment horizontal="general" vertical="bottom"/>
    </xf>
    <xf numFmtId="167" fontId="29" fillId="31" borderId="8" applyAlignment="1" pivotButton="0" quotePrefix="0" xfId="0">
      <alignment horizontal="general" vertical="bottom"/>
    </xf>
    <xf numFmtId="0" fontId="29" fillId="31" borderId="53" applyAlignment="1" pivotButton="0" quotePrefix="0" xfId="0">
      <alignment horizontal="general" vertical="bottom"/>
    </xf>
    <xf numFmtId="0" fontId="16" fillId="32" borderId="44" applyAlignment="1" pivotButton="0" quotePrefix="0" xfId="0">
      <alignment horizontal="general" vertical="bottom"/>
    </xf>
    <xf numFmtId="0" fontId="16" fillId="12" borderId="48" applyAlignment="1" pivotButton="0" quotePrefix="0" xfId="0">
      <alignment horizontal="general" vertical="bottom"/>
    </xf>
    <xf numFmtId="0" fontId="16" fillId="8" borderId="22" applyAlignment="1" pivotButton="0" quotePrefix="0" xfId="0">
      <alignment horizontal="general" vertical="bottom"/>
    </xf>
    <xf numFmtId="0" fontId="16" fillId="21" borderId="27" applyAlignment="1" pivotButton="0" quotePrefix="0" xfId="0">
      <alignment horizontal="general" vertical="bottom"/>
    </xf>
    <xf numFmtId="0" fontId="16" fillId="27" borderId="7" applyAlignment="1" pivotButton="0" quotePrefix="0" xfId="0">
      <alignment horizontal="general" vertical="bottom"/>
    </xf>
    <xf numFmtId="0" fontId="16" fillId="29" borderId="50" applyAlignment="1" pivotButton="0" quotePrefix="0" xfId="0">
      <alignment horizontal="general" vertical="bottom"/>
    </xf>
    <xf numFmtId="0" fontId="21" fillId="0" borderId="26" applyAlignment="1" pivotButton="0" quotePrefix="0" xfId="0">
      <alignment horizontal="general" vertical="bottom"/>
    </xf>
    <xf numFmtId="0" fontId="21" fillId="0" borderId="23" applyAlignment="1" pivotButton="0" quotePrefix="0" xfId="0">
      <alignment horizontal="general" vertical="bottom"/>
    </xf>
    <xf numFmtId="167" fontId="29" fillId="31" borderId="5" applyAlignment="1" pivotButton="0" quotePrefix="0" xfId="0">
      <alignment horizontal="general" vertical="bottom"/>
    </xf>
    <xf numFmtId="0" fontId="29" fillId="31" borderId="34" applyAlignment="1" pivotButton="0" quotePrefix="0" xfId="0">
      <alignment horizontal="general" vertical="bottom"/>
    </xf>
    <xf numFmtId="0" fontId="16" fillId="32" borderId="36" applyAlignment="1" pivotButton="0" quotePrefix="0" xfId="0">
      <alignment horizontal="general" vertical="bottom"/>
    </xf>
    <xf numFmtId="0" fontId="16" fillId="23" borderId="38" applyAlignment="1" pivotButton="0" quotePrefix="0" xfId="0">
      <alignment horizontal="general" vertical="bottom"/>
    </xf>
    <xf numFmtId="0" fontId="21" fillId="0" borderId="25" applyAlignment="1" pivotButton="0" quotePrefix="0" xfId="0">
      <alignment horizontal="general" vertical="bottom"/>
    </xf>
    <xf numFmtId="0" fontId="16" fillId="27" borderId="31" applyAlignment="1" pivotButton="0" quotePrefix="0" xfId="0">
      <alignment horizontal="general" vertical="bottom"/>
    </xf>
    <xf numFmtId="0" fontId="16" fillId="32" borderId="39" applyAlignment="1" pivotButton="0" quotePrefix="0" xfId="0">
      <alignment horizontal="general" vertical="bottom"/>
    </xf>
    <xf numFmtId="0" fontId="16" fillId="12" borderId="7" applyAlignment="1" pivotButton="0" quotePrefix="0" xfId="0">
      <alignment horizontal="general" vertical="bottom"/>
    </xf>
    <xf numFmtId="0" fontId="16" fillId="21" borderId="32" applyAlignment="1" pivotButton="0" quotePrefix="0" xfId="0">
      <alignment horizontal="general" vertical="bottom"/>
    </xf>
    <xf numFmtId="0" fontId="16" fillId="23" borderId="40" applyAlignment="1" pivotButton="0" quotePrefix="0" xfId="0">
      <alignment horizontal="general" vertical="bottom"/>
    </xf>
    <xf numFmtId="0" fontId="0" fillId="0" borderId="26" applyAlignment="1" pivotButton="0" quotePrefix="0" xfId="0">
      <alignment horizontal="general" vertical="bottom"/>
    </xf>
    <xf numFmtId="0" fontId="16" fillId="23" borderId="48" applyAlignment="1" pivotButton="0" quotePrefix="0" xfId="0">
      <alignment horizontal="general" vertical="bottom"/>
    </xf>
    <xf numFmtId="0" fontId="16" fillId="23" borderId="37" applyAlignment="1" pivotButton="0" quotePrefix="0" xfId="0">
      <alignment horizontal="general" vertical="bottom"/>
    </xf>
    <xf numFmtId="0" fontId="16" fillId="28" borderId="38" applyAlignment="1" pivotButton="0" quotePrefix="0" xfId="0">
      <alignment horizontal="general" vertical="bottom"/>
    </xf>
    <xf numFmtId="0" fontId="16" fillId="27" borderId="32" applyAlignment="1" pivotButton="0" quotePrefix="0" xfId="0">
      <alignment horizontal="general" vertical="bottom"/>
    </xf>
    <xf numFmtId="0" fontId="16" fillId="21" borderId="39" applyAlignment="1" pivotButton="0" quotePrefix="0" xfId="0">
      <alignment horizontal="general" vertical="bottom"/>
    </xf>
    <xf numFmtId="0" fontId="16" fillId="28" borderId="36" applyAlignment="1" pivotButton="0" quotePrefix="0" xfId="0">
      <alignment horizontal="general" vertical="bottom"/>
    </xf>
    <xf numFmtId="0" fontId="16" fillId="33" borderId="27" applyAlignment="1" pivotButton="0" quotePrefix="0" xfId="0">
      <alignment horizontal="general" vertical="bottom"/>
    </xf>
    <xf numFmtId="0" fontId="16" fillId="27" borderId="48" applyAlignment="1" pivotButton="0" quotePrefix="0" xfId="0">
      <alignment horizontal="general" vertical="bottom"/>
    </xf>
    <xf numFmtId="0" fontId="16" fillId="5" borderId="36" applyAlignment="1" pivotButton="0" quotePrefix="0" xfId="0">
      <alignment horizontal="general" vertical="bottom"/>
    </xf>
    <xf numFmtId="0" fontId="16" fillId="28" borderId="39" applyAlignment="1" pivotButton="0" quotePrefix="0" xfId="0">
      <alignment horizontal="general" vertical="bottom"/>
    </xf>
    <xf numFmtId="0" fontId="16" fillId="33" borderId="31" applyAlignment="1" pivotButton="0" quotePrefix="0" xfId="0">
      <alignment horizontal="general" vertical="bottom"/>
    </xf>
    <xf numFmtId="0" fontId="16" fillId="27" borderId="37" applyAlignment="1" pivotButton="0" quotePrefix="0" xfId="0">
      <alignment horizontal="general" vertical="bottom"/>
    </xf>
    <xf numFmtId="0" fontId="16" fillId="29" borderId="44" applyAlignment="1" pivotButton="0" quotePrefix="0" xfId="0">
      <alignment horizontal="general" vertical="bottom"/>
    </xf>
    <xf numFmtId="0" fontId="16" fillId="32" borderId="32" applyAlignment="1" pivotButton="0" quotePrefix="0" xfId="0">
      <alignment horizontal="general" vertical="bottom"/>
    </xf>
    <xf numFmtId="0" fontId="16" fillId="0" borderId="42" applyAlignment="1" pivotButton="0" quotePrefix="0" xfId="0">
      <alignment horizontal="general" vertical="bottom"/>
    </xf>
    <xf numFmtId="0" fontId="16" fillId="28" borderId="40" applyAlignment="1" pivotButton="0" quotePrefix="0" xfId="0">
      <alignment horizontal="general" vertical="bottom"/>
    </xf>
    <xf numFmtId="0" fontId="16" fillId="27" borderId="43" applyAlignment="1" pivotButton="0" quotePrefix="0" xfId="0">
      <alignment horizontal="general" vertical="bottom"/>
    </xf>
    <xf numFmtId="0" fontId="16" fillId="29" borderId="41" applyAlignment="1" pivotButton="0" quotePrefix="0" xfId="0">
      <alignment horizontal="general" vertical="bottom"/>
    </xf>
    <xf numFmtId="0" fontId="16" fillId="27" borderId="35" applyAlignment="1" pivotButton="0" quotePrefix="0" xfId="0">
      <alignment horizontal="general" vertical="bottom"/>
    </xf>
    <xf numFmtId="0" fontId="16" fillId="21" borderId="7" applyAlignment="1" pivotButton="0" quotePrefix="0" xfId="0">
      <alignment horizontal="general" vertical="bottom"/>
    </xf>
    <xf numFmtId="0" fontId="16" fillId="5" borderId="41" applyAlignment="1" pivotButton="0" quotePrefix="0" xfId="0">
      <alignment horizontal="general" vertical="bottom"/>
    </xf>
    <xf numFmtId="0" fontId="16" fillId="33" borderId="38" applyAlignment="1" pivotButton="0" quotePrefix="0" xfId="0">
      <alignment horizontal="general" vertical="bottom"/>
    </xf>
    <xf numFmtId="0" fontId="16" fillId="33" borderId="40" applyAlignment="1" pivotButton="0" quotePrefix="0" xfId="0">
      <alignment horizontal="general" vertical="bottom"/>
    </xf>
    <xf numFmtId="0" fontId="16" fillId="23" borderId="0" applyAlignment="1" pivotButton="0" quotePrefix="0" xfId="0">
      <alignment horizontal="general" vertical="bottom"/>
    </xf>
    <xf numFmtId="0" fontId="16" fillId="21" borderId="48" applyAlignment="1" pivotButton="0" quotePrefix="0" xfId="0">
      <alignment horizontal="general" vertical="bottom"/>
    </xf>
    <xf numFmtId="0" fontId="16" fillId="21" borderId="38" applyAlignment="1" pivotButton="0" quotePrefix="0" xfId="0">
      <alignment horizontal="general" vertical="bottom"/>
    </xf>
    <xf numFmtId="0" fontId="16" fillId="28" borderId="48" applyAlignment="1" pivotButton="0" quotePrefix="0" xfId="0">
      <alignment horizontal="general" vertical="bottom"/>
    </xf>
    <xf numFmtId="0" fontId="16" fillId="27" borderId="54" applyAlignment="1" pivotButton="0" quotePrefix="0" xfId="0">
      <alignment horizontal="general" vertical="bottom"/>
    </xf>
    <xf numFmtId="0" fontId="16" fillId="27" borderId="39" applyAlignment="1" pivotButton="0" quotePrefix="0" xfId="0">
      <alignment horizontal="general" vertical="bottom"/>
    </xf>
    <xf numFmtId="0" fontId="16" fillId="25" borderId="45" applyAlignment="1" pivotButton="0" quotePrefix="0" xfId="0">
      <alignment horizontal="general" vertical="bottom"/>
    </xf>
    <xf numFmtId="0" fontId="16" fillId="27" borderId="44" applyAlignment="1" pivotButton="0" quotePrefix="0" xfId="0">
      <alignment horizontal="general" vertical="bottom"/>
    </xf>
    <xf numFmtId="0" fontId="16" fillId="21" borderId="40" applyAlignment="1" pivotButton="0" quotePrefix="0" xfId="0">
      <alignment horizontal="general" vertical="bottom"/>
    </xf>
    <xf numFmtId="0" fontId="16" fillId="27" borderId="36" applyAlignment="1" pivotButton="0" quotePrefix="0" xfId="0">
      <alignment horizontal="general" vertical="bottom"/>
    </xf>
    <xf numFmtId="0" fontId="16" fillId="0" borderId="44" applyAlignment="1" pivotButton="0" quotePrefix="0" xfId="0">
      <alignment horizontal="general" vertical="bottom"/>
    </xf>
    <xf numFmtId="0" fontId="16" fillId="21" borderId="35" applyAlignment="1" pivotButton="0" quotePrefix="0" xfId="0">
      <alignment horizontal="general" vertical="bottom"/>
    </xf>
    <xf numFmtId="0" fontId="16" fillId="0" borderId="55" applyAlignment="1" pivotButton="0" quotePrefix="0" xfId="0">
      <alignment horizontal="general" vertical="bottom"/>
    </xf>
    <xf numFmtId="0" fontId="16" fillId="21" borderId="37" applyAlignment="1" pivotButton="0" quotePrefix="0" xfId="0">
      <alignment horizontal="general" vertical="bottom"/>
    </xf>
    <xf numFmtId="0" fontId="16" fillId="22" borderId="7" applyAlignment="1" pivotButton="0" quotePrefix="0" xfId="0">
      <alignment horizontal="general" vertical="bottom"/>
    </xf>
    <xf numFmtId="0" fontId="16" fillId="0" borderId="19" applyAlignment="1" pivotButton="0" quotePrefix="0" xfId="0">
      <alignment horizontal="general" vertical="bottom"/>
    </xf>
    <xf numFmtId="0" fontId="16" fillId="21" borderId="43" applyAlignment="1" pivotButton="0" quotePrefix="0" xfId="0">
      <alignment horizontal="general" vertical="bottom"/>
    </xf>
    <xf numFmtId="0" fontId="15" fillId="0" borderId="46" applyAlignment="1" pivotButton="0" quotePrefix="0" xfId="0">
      <alignment horizontal="general" vertical="bottom"/>
    </xf>
    <xf numFmtId="0" fontId="15" fillId="0" borderId="19" applyAlignment="1" pivotButton="0" quotePrefix="0" xfId="0">
      <alignment horizontal="general" vertical="bottom"/>
    </xf>
    <xf numFmtId="0" fontId="19" fillId="0" borderId="13" applyAlignment="1" pivotButton="0" quotePrefix="0" xfId="0">
      <alignment horizontal="general" vertical="bottom"/>
    </xf>
    <xf numFmtId="0" fontId="15" fillId="0" borderId="50" applyAlignment="1" pivotButton="0" quotePrefix="0" xfId="0">
      <alignment horizontal="general" vertical="bottom"/>
    </xf>
    <xf numFmtId="0" fontId="15" fillId="0" borderId="51" applyAlignment="1" pivotButton="0" quotePrefix="0" xfId="0">
      <alignment horizontal="general" vertical="bottom"/>
    </xf>
    <xf numFmtId="0" fontId="16" fillId="0" borderId="50" applyAlignment="1" pivotButton="0" quotePrefix="0" xfId="0">
      <alignment horizontal="general" vertical="bottom"/>
    </xf>
    <xf numFmtId="0" fontId="21" fillId="0" borderId="7" applyAlignment="1" pivotButton="0" quotePrefix="0" xfId="0">
      <alignment horizontal="general" vertical="bottom"/>
    </xf>
    <xf numFmtId="0" fontId="18" fillId="36" borderId="0" applyAlignment="1" pivotButton="0" quotePrefix="0" xfId="0">
      <alignment horizontal="general" vertical="bottom"/>
    </xf>
    <xf numFmtId="166" fontId="30" fillId="34" borderId="50" applyAlignment="1" pivotButton="0" quotePrefix="0" xfId="0">
      <alignment horizontal="general" vertical="bottom"/>
    </xf>
    <xf numFmtId="166" fontId="30" fillId="34" borderId="7" applyAlignment="1" pivotButton="0" quotePrefix="0" xfId="0">
      <alignment horizontal="general" vertical="bottom"/>
    </xf>
    <xf numFmtId="166" fontId="18" fillId="35" borderId="7" applyAlignment="1" pivotButton="0" quotePrefix="0" xfId="0">
      <alignment horizontal="general" vertical="bottom"/>
    </xf>
    <xf numFmtId="166" fontId="18" fillId="36" borderId="7" applyAlignment="1" pivotButton="0" quotePrefix="0" xfId="0">
      <alignment horizontal="general" vertical="bottom"/>
    </xf>
    <xf numFmtId="166" fontId="18" fillId="36" borderId="50" applyAlignment="1" pivotButton="0" quotePrefix="0" xfId="0">
      <alignment horizontal="general" vertical="bottom"/>
    </xf>
    <xf numFmtId="0" fontId="16" fillId="37" borderId="0" applyAlignment="1" pivotButton="0" quotePrefix="0" xfId="0">
      <alignment horizontal="general" vertical="bottom"/>
    </xf>
    <xf numFmtId="0" fontId="21" fillId="37" borderId="0" applyAlignment="1" pivotButton="0" quotePrefix="0" xfId="0">
      <alignment horizontal="general" vertical="bottom"/>
    </xf>
    <xf numFmtId="0" fontId="0" fillId="37" borderId="0" applyAlignment="1" pivotButton="0" quotePrefix="0" xfId="0">
      <alignment horizontal="general" vertical="bottom"/>
    </xf>
    <xf numFmtId="0" fontId="25" fillId="0" borderId="5" applyAlignment="1" pivotButton="0" quotePrefix="0" xfId="0">
      <alignment horizontal="general" vertical="bottom"/>
    </xf>
    <xf numFmtId="166" fontId="25" fillId="35" borderId="5" applyAlignment="1" pivotButton="0" quotePrefix="0" xfId="0">
      <alignment horizontal="general" vertical="bottom"/>
    </xf>
    <xf numFmtId="166" fontId="25" fillId="36" borderId="5" applyAlignment="1" pivotButton="0" quotePrefix="0" xfId="0">
      <alignment horizontal="general" vertical="bottom"/>
    </xf>
    <xf numFmtId="166" fontId="16" fillId="0" borderId="6" applyAlignment="1" pivotButton="0" quotePrefix="0" xfId="0">
      <alignment horizontal="general" vertical="bottom"/>
    </xf>
    <xf numFmtId="167" fontId="23" fillId="0" borderId="5" applyAlignment="1" pivotButton="0" quotePrefix="0" xfId="0">
      <alignment horizontal="general" vertical="bottom"/>
    </xf>
    <xf numFmtId="166" fontId="23" fillId="0" borderId="5" applyAlignment="1" pivotButton="0" quotePrefix="0" xfId="0">
      <alignment horizontal="center" vertical="bottom"/>
    </xf>
    <xf numFmtId="166" fontId="23" fillId="6" borderId="5" applyAlignment="1" pivotButton="0" quotePrefix="0" xfId="0">
      <alignment horizontal="general" vertical="bottom"/>
    </xf>
    <xf numFmtId="0" fontId="25" fillId="17" borderId="26" applyAlignment="1" pivotButton="0" quotePrefix="0" xfId="0">
      <alignment horizontal="general" vertical="bottom"/>
    </xf>
    <xf numFmtId="0" fontId="25" fillId="17" borderId="23" applyAlignment="1" pivotButton="0" quotePrefix="0" xfId="0">
      <alignment horizontal="general" vertical="bottom"/>
    </xf>
    <xf numFmtId="166" fontId="16" fillId="0" borderId="50" applyAlignment="1" pivotButton="0" quotePrefix="0" xfId="0">
      <alignment horizontal="general" vertical="bottom"/>
    </xf>
    <xf numFmtId="0" fontId="21" fillId="18" borderId="23" applyAlignment="1" pivotButton="0" quotePrefix="0" xfId="0">
      <alignment horizontal="general" vertical="bottom"/>
    </xf>
    <xf numFmtId="0" fontId="16" fillId="18" borderId="50" applyAlignment="1" pivotButton="0" quotePrefix="0" xfId="0">
      <alignment horizontal="general" vertical="bottom"/>
    </xf>
    <xf numFmtId="0" fontId="0" fillId="18" borderId="7" applyAlignment="1" pivotButton="0" quotePrefix="0" xfId="0">
      <alignment horizontal="general" vertical="bottom"/>
    </xf>
    <xf numFmtId="0" fontId="16" fillId="20" borderId="50" applyAlignment="1" pivotButton="0" quotePrefix="0" xfId="0">
      <alignment horizontal="general" vertical="bottom"/>
    </xf>
    <xf numFmtId="0" fontId="16" fillId="22" borderId="48" applyAlignment="1" pivotButton="0" quotePrefix="0" xfId="0">
      <alignment horizontal="general" vertical="bottom"/>
    </xf>
    <xf numFmtId="0" fontId="16" fillId="0" borderId="52" applyAlignment="1" pivotButton="0" quotePrefix="0" xfId="0">
      <alignment horizontal="general" vertical="bottom"/>
    </xf>
    <xf numFmtId="0" fontId="16" fillId="38" borderId="7" applyAlignment="1" pivotButton="0" quotePrefix="0" xfId="0">
      <alignment horizontal="general" vertical="bottom"/>
    </xf>
    <xf numFmtId="0" fontId="16" fillId="29" borderId="27" applyAlignment="1" pivotButton="0" quotePrefix="0" xfId="0">
      <alignment horizontal="general" vertical="bottom"/>
    </xf>
    <xf numFmtId="0" fontId="0" fillId="0" borderId="25" applyAlignment="1" pivotButton="0" quotePrefix="0" xfId="0">
      <alignment horizontal="general" vertical="bottom"/>
    </xf>
    <xf numFmtId="0" fontId="16" fillId="22" borderId="38" applyAlignment="1" pivotButton="0" quotePrefix="0" xfId="0">
      <alignment horizontal="general" vertical="bottom"/>
    </xf>
    <xf numFmtId="0" fontId="16" fillId="29" borderId="31" applyAlignment="1" pivotButton="0" quotePrefix="0" xfId="0">
      <alignment horizontal="general" vertical="bottom"/>
    </xf>
    <xf numFmtId="0" fontId="16" fillId="39" borderId="22" applyAlignment="1" pivotButton="0" quotePrefix="0" xfId="0">
      <alignment horizontal="general" vertical="bottom"/>
    </xf>
    <xf numFmtId="0" fontId="16" fillId="29" borderId="32" applyAlignment="1" pivotButton="0" quotePrefix="0" xfId="0">
      <alignment horizontal="general" vertical="bottom"/>
    </xf>
    <xf numFmtId="0" fontId="16" fillId="20" borderId="44" applyAlignment="1" pivotButton="0" quotePrefix="0" xfId="0">
      <alignment horizontal="general" vertical="bottom"/>
    </xf>
    <xf numFmtId="0" fontId="16" fillId="39" borderId="7" applyAlignment="1" pivotButton="0" quotePrefix="0" xfId="0">
      <alignment horizontal="general" vertical="bottom"/>
    </xf>
    <xf numFmtId="0" fontId="16" fillId="20" borderId="36" applyAlignment="1" pivotButton="0" quotePrefix="0" xfId="0">
      <alignment horizontal="general" vertical="bottom"/>
    </xf>
    <xf numFmtId="0" fontId="16" fillId="38" borderId="23" applyAlignment="1" pivotButton="0" quotePrefix="0" xfId="0">
      <alignment horizontal="general" vertical="bottom"/>
    </xf>
    <xf numFmtId="0" fontId="16" fillId="20" borderId="39" applyAlignment="1" pivotButton="0" quotePrefix="0" xfId="0">
      <alignment horizontal="general" vertical="bottom"/>
    </xf>
    <xf numFmtId="0" fontId="16" fillId="20" borderId="7" applyAlignment="1" pivotButton="0" quotePrefix="0" xfId="0">
      <alignment horizontal="general" vertical="bottom"/>
    </xf>
    <xf numFmtId="0" fontId="16" fillId="21" borderId="36" applyAlignment="1" pivotButton="0" quotePrefix="0" xfId="0">
      <alignment horizontal="general" vertical="bottom"/>
    </xf>
    <xf numFmtId="0" fontId="16" fillId="29" borderId="54" applyAlignment="1" pivotButton="0" quotePrefix="0" xfId="0">
      <alignment horizontal="general" vertical="bottom"/>
    </xf>
    <xf numFmtId="0" fontId="16" fillId="20" borderId="45" applyAlignment="1" pivotButton="0" quotePrefix="0" xfId="0">
      <alignment horizontal="general" vertical="bottom"/>
    </xf>
    <xf numFmtId="0" fontId="16" fillId="21" borderId="54" applyAlignment="1" pivotButton="0" quotePrefix="0" xfId="0">
      <alignment horizontal="general" vertical="bottom"/>
    </xf>
    <xf numFmtId="0" fontId="16" fillId="33" borderId="32" applyAlignment="1" pivotButton="0" quotePrefix="0" xfId="0">
      <alignment horizontal="general" vertical="bottom"/>
    </xf>
    <xf numFmtId="0" fontId="16" fillId="37" borderId="50" applyAlignment="1" pivotButton="0" quotePrefix="0" xfId="0">
      <alignment horizontal="general" vertical="bottom"/>
    </xf>
    <xf numFmtId="0" fontId="16" fillId="29" borderId="36" applyAlignment="1" pivotButton="0" quotePrefix="0" xfId="0">
      <alignment horizontal="general" vertical="bottom"/>
    </xf>
    <xf numFmtId="0" fontId="16" fillId="29" borderId="39" applyAlignment="1" pivotButton="0" quotePrefix="0" xfId="0">
      <alignment horizontal="general" vertical="bottom"/>
    </xf>
    <xf numFmtId="0" fontId="16" fillId="25" borderId="54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16" fillId="0" borderId="7" applyAlignment="1" pivotButton="0" quotePrefix="0" xfId="0">
      <alignment horizontal="left" vertical="bottom"/>
    </xf>
    <xf numFmtId="0" fontId="0" fillId="0" borderId="7" applyAlignment="1" pivotButton="0" quotePrefix="0" xfId="0">
      <alignment horizontal="general" vertical="bottom"/>
    </xf>
    <xf numFmtId="166" fontId="30" fillId="36" borderId="50" applyAlignment="1" pivotButton="0" quotePrefix="0" xfId="0">
      <alignment horizontal="general" vertical="bottom"/>
    </xf>
    <xf numFmtId="166" fontId="30" fillId="36" borderId="7" applyAlignment="1" pivotButton="0" quotePrefix="0" xfId="0">
      <alignment horizontal="general" vertical="bottom"/>
    </xf>
    <xf numFmtId="166" fontId="18" fillId="10" borderId="7" applyAlignment="1" pivotButton="0" quotePrefix="0" xfId="0">
      <alignment horizontal="general" vertical="bottom"/>
    </xf>
    <xf numFmtId="166" fontId="18" fillId="37" borderId="7" applyAlignment="1" pivotButton="0" quotePrefix="0" xfId="0">
      <alignment horizontal="general" vertical="bottom"/>
    </xf>
    <xf numFmtId="166" fontId="18" fillId="37" borderId="50" applyAlignment="1" pivotButton="0" quotePrefix="0" xfId="0">
      <alignment horizontal="general" vertical="bottom"/>
    </xf>
    <xf numFmtId="166" fontId="18" fillId="37" borderId="13" applyAlignment="1" pivotButton="0" quotePrefix="0" xfId="0">
      <alignment horizontal="general" vertical="bottom"/>
    </xf>
    <xf numFmtId="0" fontId="29" fillId="10" borderId="0" applyAlignment="1" pivotButton="0" quotePrefix="0" xfId="0">
      <alignment horizontal="general" vertical="bottom"/>
    </xf>
    <xf numFmtId="166" fontId="29" fillId="10" borderId="0" applyAlignment="1" pivotButton="0" quotePrefix="0" xfId="0">
      <alignment horizontal="general" vertical="bottom"/>
    </xf>
    <xf numFmtId="0" fontId="29" fillId="36" borderId="0" applyAlignment="1" pivotButton="0" quotePrefix="0" xfId="0">
      <alignment horizontal="general" vertical="bottom"/>
    </xf>
    <xf numFmtId="166" fontId="29" fillId="36" borderId="0" applyAlignment="1" pivotButton="0" quotePrefix="0" xfId="0">
      <alignment horizontal="general" vertical="bottom"/>
    </xf>
    <xf numFmtId="0" fontId="22" fillId="40" borderId="9" applyAlignment="1" pivotButton="0" quotePrefix="0" xfId="0">
      <alignment horizontal="center" vertical="bottom"/>
    </xf>
    <xf numFmtId="0" fontId="23" fillId="15" borderId="14" applyAlignment="1" pivotButton="0" quotePrefix="0" xfId="0">
      <alignment horizontal="left" vertical="bottom"/>
    </xf>
    <xf numFmtId="0" fontId="23" fillId="15" borderId="22" applyAlignment="1" pivotButton="0" quotePrefix="0" xfId="0">
      <alignment horizontal="left" vertical="bottom"/>
    </xf>
    <xf numFmtId="0" fontId="15" fillId="0" borderId="0" applyAlignment="1" pivotButton="0" quotePrefix="0" xfId="0">
      <alignment horizontal="left" vertical="bottom"/>
    </xf>
    <xf numFmtId="166" fontId="15" fillId="0" borderId="0" applyAlignment="1" pivotButton="0" quotePrefix="0" xfId="0">
      <alignment horizontal="general" vertical="bottom"/>
    </xf>
    <xf numFmtId="0" fontId="23" fillId="0" borderId="5" applyAlignment="1" pivotButton="0" quotePrefix="0" xfId="0">
      <alignment horizontal="general" vertical="bottom"/>
    </xf>
    <xf numFmtId="166" fontId="23" fillId="0" borderId="34" applyAlignment="1" pivotButton="0" quotePrefix="0" xfId="0">
      <alignment horizontal="general" vertical="bottom"/>
    </xf>
    <xf numFmtId="0" fontId="25" fillId="17" borderId="25" applyAlignment="1" pivotButton="0" quotePrefix="0" xfId="0">
      <alignment horizontal="general" vertical="bottom"/>
    </xf>
    <xf numFmtId="166" fontId="16" fillId="0" borderId="25" applyAlignment="1" pivotButton="0" quotePrefix="0" xfId="0">
      <alignment horizontal="general" vertical="bottom"/>
    </xf>
    <xf numFmtId="0" fontId="0" fillId="18" borderId="23" applyAlignment="1" pivotButton="0" quotePrefix="0" xfId="0">
      <alignment horizontal="general" vertical="bottom"/>
    </xf>
    <xf numFmtId="0" fontId="16" fillId="8" borderId="23" applyAlignment="1" pivotButton="0" quotePrefix="0" xfId="0">
      <alignment horizontal="general" vertical="bottom"/>
    </xf>
    <xf numFmtId="0" fontId="16" fillId="9" borderId="7" applyAlignment="1" pivotButton="0" quotePrefix="0" xfId="0">
      <alignment horizontal="general" vertical="bottom"/>
    </xf>
    <xf numFmtId="0" fontId="16" fillId="10" borderId="7" applyAlignment="1" pivotButton="0" quotePrefix="0" xfId="0">
      <alignment horizontal="general" vertical="bottom"/>
    </xf>
    <xf numFmtId="0" fontId="21" fillId="0" borderId="42" applyAlignment="1" pivotButton="0" quotePrefix="0" xfId="0">
      <alignment horizontal="general" vertical="bottom"/>
    </xf>
    <xf numFmtId="0" fontId="16" fillId="41" borderId="23" applyAlignment="1" pivotButton="0" quotePrefix="0" xfId="0">
      <alignment horizontal="general" vertical="bottom"/>
    </xf>
    <xf numFmtId="0" fontId="0" fillId="0" borderId="23" applyAlignment="1" pivotButton="0" quotePrefix="0" xfId="0">
      <alignment horizontal="general" vertical="bottom"/>
    </xf>
    <xf numFmtId="0" fontId="0" fillId="0" borderId="50" applyAlignment="1" pivotButton="0" quotePrefix="0" xfId="0">
      <alignment horizontal="general" vertical="bottom"/>
    </xf>
    <xf numFmtId="0" fontId="16" fillId="25" borderId="48" applyAlignment="1" pivotButton="0" quotePrefix="0" xfId="0">
      <alignment horizontal="general" vertical="bottom"/>
    </xf>
    <xf numFmtId="0" fontId="16" fillId="9" borderId="23" applyAlignment="1" pivotButton="0" quotePrefix="0" xfId="0">
      <alignment horizontal="general" vertical="bottom"/>
    </xf>
    <xf numFmtId="0" fontId="16" fillId="41" borderId="27" applyAlignment="1" pivotButton="0" quotePrefix="0" xfId="0">
      <alignment horizontal="general" vertical="bottom"/>
    </xf>
    <xf numFmtId="0" fontId="16" fillId="42" borderId="50" applyAlignment="1" pivotButton="0" quotePrefix="0" xfId="0">
      <alignment horizontal="general" vertical="bottom"/>
    </xf>
    <xf numFmtId="0" fontId="16" fillId="20" borderId="35" applyAlignment="1" pivotButton="0" quotePrefix="0" xfId="0">
      <alignment horizontal="general" vertical="bottom"/>
    </xf>
    <xf numFmtId="0" fontId="16" fillId="17" borderId="44" applyAlignment="1" pivotButton="0" quotePrefix="0" xfId="0">
      <alignment horizontal="general" vertical="bottom"/>
    </xf>
    <xf numFmtId="0" fontId="16" fillId="10" borderId="44" applyAlignment="1" pivotButton="0" quotePrefix="0" xfId="0">
      <alignment horizontal="general" vertical="bottom"/>
    </xf>
    <xf numFmtId="0" fontId="16" fillId="7" borderId="27" applyAlignment="1" pivotButton="0" quotePrefix="0" xfId="0">
      <alignment horizontal="general" vertical="bottom"/>
    </xf>
    <xf numFmtId="0" fontId="16" fillId="25" borderId="38" applyAlignment="1" pivotButton="0" quotePrefix="0" xfId="0">
      <alignment horizontal="general" vertical="bottom"/>
    </xf>
    <xf numFmtId="0" fontId="16" fillId="41" borderId="31" applyAlignment="1" pivotButton="0" quotePrefix="0" xfId="0">
      <alignment horizontal="general" vertical="bottom"/>
    </xf>
    <xf numFmtId="0" fontId="16" fillId="20" borderId="37" applyAlignment="1" pivotButton="0" quotePrefix="0" xfId="0">
      <alignment horizontal="general" vertical="bottom"/>
    </xf>
    <xf numFmtId="0" fontId="16" fillId="17" borderId="41" applyAlignment="1" pivotButton="0" quotePrefix="0" xfId="0">
      <alignment horizontal="general" vertical="bottom"/>
    </xf>
    <xf numFmtId="0" fontId="16" fillId="10" borderId="36" applyAlignment="1" pivotButton="0" quotePrefix="0" xfId="0">
      <alignment horizontal="general" vertical="bottom"/>
    </xf>
    <xf numFmtId="0" fontId="16" fillId="7" borderId="31" applyAlignment="1" pivotButton="0" quotePrefix="0" xfId="0">
      <alignment horizontal="general" vertical="bottom"/>
    </xf>
    <xf numFmtId="0" fontId="16" fillId="17" borderId="42" applyAlignment="1" pivotButton="0" quotePrefix="0" xfId="0">
      <alignment horizontal="general" vertical="bottom"/>
    </xf>
    <xf numFmtId="0" fontId="16" fillId="8" borderId="7" applyAlignment="1" pivotButton="0" quotePrefix="0" xfId="0">
      <alignment horizontal="general" vertical="bottom"/>
    </xf>
    <xf numFmtId="0" fontId="16" fillId="9" borderId="45" applyAlignment="1" pivotButton="0" quotePrefix="0" xfId="0">
      <alignment horizontal="general" vertical="bottom"/>
    </xf>
    <xf numFmtId="0" fontId="16" fillId="9" borderId="32" applyAlignment="1" pivotButton="0" quotePrefix="0" xfId="0">
      <alignment horizontal="general" vertical="bottom"/>
    </xf>
    <xf numFmtId="0" fontId="16" fillId="17" borderId="39" applyAlignment="1" pivotButton="0" quotePrefix="0" xfId="0">
      <alignment horizontal="general" vertical="bottom"/>
    </xf>
    <xf numFmtId="0" fontId="16" fillId="9" borderId="27" applyAlignment="1" pivotButton="0" quotePrefix="0" xfId="0">
      <alignment horizontal="general" vertical="bottom"/>
    </xf>
    <xf numFmtId="0" fontId="16" fillId="20" borderId="43" applyAlignment="1" pivotButton="0" quotePrefix="0" xfId="0">
      <alignment horizontal="general" vertical="bottom"/>
    </xf>
    <xf numFmtId="0" fontId="16" fillId="7" borderId="45" applyAlignment="1" pivotButton="0" quotePrefix="0" xfId="0">
      <alignment horizontal="general" vertical="bottom"/>
    </xf>
    <xf numFmtId="0" fontId="16" fillId="43" borderId="23" applyAlignment="1" pivotButton="0" quotePrefix="0" xfId="0">
      <alignment horizontal="general" vertical="bottom"/>
    </xf>
    <xf numFmtId="0" fontId="16" fillId="9" borderId="31" applyAlignment="1" pivotButton="0" quotePrefix="0" xfId="0">
      <alignment horizontal="general" vertical="bottom"/>
    </xf>
    <xf numFmtId="0" fontId="0" fillId="0" borderId="28" applyAlignment="1" pivotButton="0" quotePrefix="0" xfId="0">
      <alignment horizontal="general" vertical="bottom"/>
    </xf>
    <xf numFmtId="0" fontId="16" fillId="10" borderId="39" applyAlignment="1" pivotButton="0" quotePrefix="0" xfId="0">
      <alignment horizontal="general" vertical="bottom"/>
    </xf>
    <xf numFmtId="0" fontId="16" fillId="25" borderId="35" applyAlignment="1" pivotButton="0" quotePrefix="0" xfId="0">
      <alignment horizontal="general" vertical="bottom"/>
    </xf>
    <xf numFmtId="0" fontId="16" fillId="17" borderId="27" applyAlignment="1" pivotButton="0" quotePrefix="0" xfId="0">
      <alignment horizontal="general" vertical="bottom"/>
    </xf>
    <xf numFmtId="0" fontId="16" fillId="9" borderId="40" applyAlignment="1" pivotButton="0" quotePrefix="0" xfId="0">
      <alignment horizontal="general" vertical="bottom"/>
    </xf>
    <xf numFmtId="0" fontId="16" fillId="10" borderId="48" applyAlignment="1" pivotButton="0" quotePrefix="0" xfId="0">
      <alignment horizontal="general" vertical="bottom"/>
    </xf>
    <xf numFmtId="0" fontId="16" fillId="21" borderId="50" applyAlignment="1" pivotButton="0" quotePrefix="0" xfId="0">
      <alignment horizontal="general" vertical="bottom"/>
    </xf>
    <xf numFmtId="0" fontId="16" fillId="7" borderId="35" applyAlignment="1" pivotButton="0" quotePrefix="0" xfId="0">
      <alignment horizontal="general" vertical="bottom"/>
    </xf>
    <xf numFmtId="0" fontId="16" fillId="25" borderId="37" applyAlignment="1" pivotButton="0" quotePrefix="0" xfId="0">
      <alignment horizontal="general" vertical="bottom"/>
    </xf>
    <xf numFmtId="0" fontId="16" fillId="17" borderId="31" applyAlignment="1" pivotButton="0" quotePrefix="0" xfId="0">
      <alignment horizontal="general" vertical="bottom"/>
    </xf>
    <xf numFmtId="0" fontId="16" fillId="10" borderId="38" applyAlignment="1" pivotButton="0" quotePrefix="0" xfId="0">
      <alignment horizontal="general" vertical="bottom"/>
    </xf>
    <xf numFmtId="0" fontId="16" fillId="7" borderId="37" applyAlignment="1" pivotButton="0" quotePrefix="0" xfId="0">
      <alignment horizontal="general" vertical="bottom"/>
    </xf>
    <xf numFmtId="0" fontId="16" fillId="44" borderId="27" applyAlignment="1" pivotButton="0" quotePrefix="0" xfId="0">
      <alignment horizontal="general" vertical="bottom"/>
    </xf>
    <xf numFmtId="0" fontId="16" fillId="41" borderId="45" applyAlignment="1" pivotButton="0" quotePrefix="0" xfId="0">
      <alignment horizontal="general" vertical="bottom"/>
    </xf>
    <xf numFmtId="0" fontId="16" fillId="42" borderId="42" applyAlignment="1" pivotButton="0" quotePrefix="0" xfId="0">
      <alignment horizontal="general" vertical="bottom"/>
    </xf>
    <xf numFmtId="0" fontId="16" fillId="22" borderId="40" applyAlignment="1" pivotButton="0" quotePrefix="0" xfId="0">
      <alignment horizontal="general" vertical="bottom"/>
    </xf>
    <xf numFmtId="0" fontId="16" fillId="44" borderId="31" applyAlignment="1" pivotButton="0" quotePrefix="0" xfId="0">
      <alignment horizontal="general" vertical="bottom"/>
    </xf>
    <xf numFmtId="0" fontId="16" fillId="27" borderId="51" applyAlignment="1" pivotButton="0" quotePrefix="0" xfId="0">
      <alignment horizontal="general" vertical="bottom"/>
    </xf>
    <xf numFmtId="0" fontId="16" fillId="25" borderId="43" applyAlignment="1" pivotButton="0" quotePrefix="0" xfId="0">
      <alignment horizontal="general" vertical="bottom"/>
    </xf>
    <xf numFmtId="0" fontId="16" fillId="9" borderId="35" applyAlignment="1" pivotButton="0" quotePrefix="0" xfId="0">
      <alignment horizontal="general" vertical="bottom"/>
    </xf>
    <xf numFmtId="0" fontId="16" fillId="44" borderId="32" applyAlignment="1" pivotButton="0" quotePrefix="0" xfId="0">
      <alignment horizontal="general" vertical="bottom"/>
    </xf>
    <xf numFmtId="0" fontId="16" fillId="12" borderId="50" applyAlignment="1" pivotButton="0" quotePrefix="0" xfId="0">
      <alignment horizontal="general" vertical="bottom"/>
    </xf>
    <xf numFmtId="0" fontId="16" fillId="21" borderId="51" applyAlignment="1" pivotButton="0" quotePrefix="0" xfId="0">
      <alignment horizontal="general" vertical="bottom"/>
    </xf>
    <xf numFmtId="0" fontId="16" fillId="7" borderId="43" applyAlignment="1" pivotButton="0" quotePrefix="0" xfId="0">
      <alignment horizontal="general" vertical="bottom"/>
    </xf>
    <xf numFmtId="0" fontId="16" fillId="22" borderId="22" applyAlignment="1" pivotButton="0" quotePrefix="0" xfId="0">
      <alignment horizontal="general" vertical="bottom"/>
    </xf>
    <xf numFmtId="0" fontId="16" fillId="9" borderId="38" applyAlignment="1" pivotButton="0" quotePrefix="0" xfId="0">
      <alignment horizontal="general" vertical="bottom"/>
    </xf>
    <xf numFmtId="0" fontId="16" fillId="10" borderId="40" applyAlignment="1" pivotButton="0" quotePrefix="0" xfId="0">
      <alignment horizontal="general" vertical="bottom"/>
    </xf>
    <xf numFmtId="0" fontId="16" fillId="21" borderId="56" applyAlignment="1" pivotButton="0" quotePrefix="0" xfId="0">
      <alignment horizontal="general" vertical="bottom"/>
    </xf>
    <xf numFmtId="0" fontId="16" fillId="25" borderId="44" applyAlignment="1" pivotButton="0" quotePrefix="0" xfId="0">
      <alignment horizontal="general" vertical="bottom"/>
    </xf>
    <xf numFmtId="0" fontId="16" fillId="9" borderId="43" applyAlignment="1" pivotButton="0" quotePrefix="0" xfId="0">
      <alignment horizontal="general" vertical="bottom"/>
    </xf>
    <xf numFmtId="0" fontId="16" fillId="25" borderId="41" applyAlignment="1" pivotButton="0" quotePrefix="0" xfId="0">
      <alignment horizontal="general" vertical="bottom"/>
    </xf>
    <xf numFmtId="0" fontId="16" fillId="40" borderId="27" applyAlignment="1" pivotButton="0" quotePrefix="0" xfId="0">
      <alignment horizontal="general" vertical="bottom"/>
    </xf>
    <xf numFmtId="0" fontId="16" fillId="8" borderId="36" applyAlignment="1" pivotButton="0" quotePrefix="0" xfId="0">
      <alignment horizontal="general" vertical="bottom"/>
    </xf>
    <xf numFmtId="0" fontId="16" fillId="17" borderId="38" applyAlignment="1" pivotButton="0" quotePrefix="0" xfId="0">
      <alignment horizontal="general" vertical="bottom"/>
    </xf>
    <xf numFmtId="0" fontId="16" fillId="8" borderId="51" applyAlignment="1" pivotButton="0" quotePrefix="0" xfId="0">
      <alignment horizontal="general" vertical="bottom"/>
    </xf>
    <xf numFmtId="0" fontId="16" fillId="41" borderId="32" applyAlignment="1" pivotButton="0" quotePrefix="0" xfId="0">
      <alignment horizontal="general" vertical="bottom"/>
    </xf>
    <xf numFmtId="0" fontId="16" fillId="40" borderId="31" applyAlignment="1" pivotButton="0" quotePrefix="0" xfId="0">
      <alignment horizontal="general" vertical="bottom"/>
    </xf>
    <xf numFmtId="0" fontId="16" fillId="7" borderId="56" applyAlignment="1" pivotButton="0" quotePrefix="0" xfId="0">
      <alignment horizontal="general" vertical="bottom"/>
    </xf>
    <xf numFmtId="0" fontId="16" fillId="27" borderId="22" applyAlignment="1" pivotButton="0" quotePrefix="0" xfId="0">
      <alignment horizontal="general" vertical="bottom"/>
    </xf>
    <xf numFmtId="0" fontId="16" fillId="41" borderId="54" applyAlignment="1" pivotButton="0" quotePrefix="0" xfId="0">
      <alignment horizontal="general" vertical="bottom"/>
    </xf>
    <xf numFmtId="0" fontId="16" fillId="33" borderId="23" applyAlignment="1" pivotButton="0" quotePrefix="0" xfId="0">
      <alignment horizontal="general" vertical="bottom"/>
    </xf>
    <xf numFmtId="0" fontId="16" fillId="8" borderId="39" applyAlignment="1" pivotButton="0" quotePrefix="0" xfId="0">
      <alignment horizontal="general" vertical="bottom"/>
    </xf>
    <xf numFmtId="0" fontId="16" fillId="17" borderId="40" applyAlignment="1" pivotButton="0" quotePrefix="0" xfId="0">
      <alignment horizontal="general" vertical="bottom"/>
    </xf>
    <xf numFmtId="0" fontId="16" fillId="12" borderId="22" applyAlignment="1" pivotButton="0" quotePrefix="0" xfId="0">
      <alignment horizontal="general" vertical="bottom"/>
    </xf>
    <xf numFmtId="0" fontId="16" fillId="40" borderId="32" applyAlignment="1" pivotButton="0" quotePrefix="0" xfId="0">
      <alignment horizontal="general" vertical="bottom"/>
    </xf>
    <xf numFmtId="0" fontId="16" fillId="43" borderId="7" applyAlignment="1" pivotButton="0" quotePrefix="0" xfId="0">
      <alignment horizontal="general" vertical="bottom"/>
    </xf>
    <xf numFmtId="0" fontId="16" fillId="9" borderId="36" applyAlignment="1" pivotButton="0" quotePrefix="0" xfId="0">
      <alignment horizontal="general" vertical="bottom"/>
    </xf>
    <xf numFmtId="0" fontId="16" fillId="9" borderId="39" applyAlignment="1" pivotButton="0" quotePrefix="0" xfId="0">
      <alignment horizontal="general" vertical="bottom"/>
    </xf>
    <xf numFmtId="0" fontId="16" fillId="8" borderId="44" applyAlignment="1" pivotButton="0" quotePrefix="0" xfId="0">
      <alignment horizontal="general" vertical="bottom"/>
    </xf>
    <xf numFmtId="0" fontId="16" fillId="17" borderId="52" applyAlignment="1" pivotButton="0" quotePrefix="0" xfId="0">
      <alignment horizontal="general" vertical="bottom"/>
    </xf>
    <xf numFmtId="0" fontId="16" fillId="34" borderId="27" applyAlignment="1" pivotButton="0" quotePrefix="0" xfId="0">
      <alignment horizontal="general" vertical="bottom"/>
    </xf>
    <xf numFmtId="0" fontId="16" fillId="21" borderId="57" applyAlignment="1" pivotButton="0" quotePrefix="0" xfId="0">
      <alignment horizontal="general" vertical="bottom"/>
    </xf>
    <xf numFmtId="0" fontId="16" fillId="17" borderId="56" applyAlignment="1" pivotButton="0" quotePrefix="0" xfId="0">
      <alignment horizontal="general" vertical="bottom"/>
    </xf>
    <xf numFmtId="0" fontId="16" fillId="34" borderId="31" applyAlignment="1" pivotButton="0" quotePrefix="0" xfId="0">
      <alignment horizontal="general" vertical="bottom"/>
    </xf>
    <xf numFmtId="0" fontId="23" fillId="11" borderId="22" applyAlignment="1" pivotButton="0" quotePrefix="0" xfId="0">
      <alignment horizontal="general" vertical="bottom"/>
    </xf>
    <xf numFmtId="0" fontId="16" fillId="9" borderId="44" applyAlignment="1" pivotButton="0" quotePrefix="0" xfId="0">
      <alignment horizontal="general" vertical="bottom"/>
    </xf>
    <xf numFmtId="0" fontId="16" fillId="40" borderId="36" applyAlignment="1" pivotButton="0" quotePrefix="0" xfId="0">
      <alignment horizontal="general" vertical="bottom"/>
    </xf>
    <xf numFmtId="0" fontId="16" fillId="37" borderId="27" applyAlignment="1" pivotButton="0" quotePrefix="0" xfId="0">
      <alignment horizontal="general" vertical="bottom"/>
    </xf>
    <xf numFmtId="0" fontId="16" fillId="17" borderId="43" applyAlignment="1" pivotButton="0" quotePrefix="0" xfId="0">
      <alignment horizontal="general" vertical="bottom"/>
    </xf>
    <xf numFmtId="0" fontId="16" fillId="40" borderId="39" applyAlignment="1" pivotButton="0" quotePrefix="0" xfId="0">
      <alignment horizontal="general" vertical="bottom"/>
    </xf>
    <xf numFmtId="0" fontId="16" fillId="37" borderId="31" applyAlignment="1" pivotButton="0" quotePrefix="0" xfId="0">
      <alignment horizontal="general" vertical="bottom"/>
    </xf>
    <xf numFmtId="0" fontId="16" fillId="34" borderId="32" applyAlignment="1" pivotButton="0" quotePrefix="0" xfId="0">
      <alignment horizontal="general" vertical="bottom"/>
    </xf>
    <xf numFmtId="0" fontId="16" fillId="37" borderId="32" applyAlignment="1" pivotButton="0" quotePrefix="0" xfId="0">
      <alignment horizontal="general" vertical="bottom"/>
    </xf>
    <xf numFmtId="0" fontId="16" fillId="0" borderId="54" applyAlignment="1" pivotButton="0" quotePrefix="0" xfId="0">
      <alignment horizontal="general" vertical="bottom"/>
    </xf>
    <xf numFmtId="0" fontId="0" fillId="0" borderId="55" applyAlignment="1" pivotButton="0" quotePrefix="0" xfId="0">
      <alignment horizontal="general" vertical="bottom"/>
    </xf>
    <xf numFmtId="0" fontId="21" fillId="0" borderId="13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31" fillId="0" borderId="13" applyAlignment="1" pivotButton="0" quotePrefix="0" xfId="0">
      <alignment horizontal="general" vertical="bottom"/>
    </xf>
    <xf numFmtId="166" fontId="18" fillId="33" borderId="7" applyAlignment="1" pivotButton="0" quotePrefix="0" xfId="0">
      <alignment horizontal="general" vertical="bottom"/>
    </xf>
    <xf numFmtId="166" fontId="18" fillId="33" borderId="50" applyAlignment="1" pivotButton="0" quotePrefix="0" xfId="0">
      <alignment horizontal="general" vertical="bottom"/>
    </xf>
    <xf numFmtId="166" fontId="18" fillId="36" borderId="13" applyAlignment="1" pivotButton="0" quotePrefix="0" xfId="0">
      <alignment horizontal="general" vertical="bottom"/>
    </xf>
    <xf numFmtId="166" fontId="18" fillId="33" borderId="13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23" fillId="10" borderId="0" applyAlignment="1" pivotButton="0" quotePrefix="0" xfId="0">
      <alignment horizontal="general" vertical="bottom"/>
    </xf>
    <xf numFmtId="0" fontId="23" fillId="36" borderId="0" applyAlignment="1" pivotButton="0" quotePrefix="0" xfId="0">
      <alignment horizontal="general" vertical="bottom"/>
    </xf>
    <xf numFmtId="166" fontId="23" fillId="0" borderId="7" applyAlignment="1" pivotButton="0" quotePrefix="0" xfId="0">
      <alignment horizontal="general" vertical="bottom"/>
    </xf>
    <xf numFmtId="0" fontId="15" fillId="8" borderId="7" applyAlignment="1" pivotButton="0" quotePrefix="0" xfId="0">
      <alignment horizontal="center" vertical="bottom"/>
    </xf>
    <xf numFmtId="0" fontId="22" fillId="11" borderId="7" applyAlignment="1" pivotButton="0" quotePrefix="0" xfId="0">
      <alignment horizontal="center" vertical="bottom"/>
    </xf>
    <xf numFmtId="0" fontId="22" fillId="40" borderId="7" applyAlignment="1" pivotButton="0" quotePrefix="0" xfId="0">
      <alignment horizontal="center" vertical="bottom"/>
    </xf>
    <xf numFmtId="0" fontId="22" fillId="42" borderId="7" applyAlignment="1" pivotButton="0" quotePrefix="0" xfId="0">
      <alignment horizontal="center" vertical="bottom"/>
    </xf>
    <xf numFmtId="0" fontId="23" fillId="6" borderId="10" applyAlignment="1" pivotButton="0" quotePrefix="0" xfId="0">
      <alignment horizontal="center" vertical="bottom"/>
    </xf>
    <xf numFmtId="0" fontId="25" fillId="18" borderId="7" applyAlignment="1" pivotButton="0" quotePrefix="0" xfId="0">
      <alignment horizontal="general" vertical="bottom"/>
    </xf>
    <xf numFmtId="167" fontId="29" fillId="0" borderId="0" applyAlignment="1" pivotButton="0" quotePrefix="0" xfId="0">
      <alignment horizontal="general" vertical="bottom"/>
    </xf>
    <xf numFmtId="0" fontId="29" fillId="0" borderId="23" applyAlignment="1" pivotButton="0" quotePrefix="0" xfId="0">
      <alignment horizontal="general" vertical="bottom"/>
    </xf>
    <xf numFmtId="0" fontId="16" fillId="0" borderId="51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bottom"/>
    </xf>
    <xf numFmtId="0" fontId="0" fillId="0" borderId="52" applyAlignment="1" pivotButton="0" quotePrefix="0" xfId="0">
      <alignment horizontal="general" vertical="bottom"/>
    </xf>
    <xf numFmtId="0" fontId="29" fillId="0" borderId="25" applyAlignment="1" pivotButton="0" quotePrefix="0" xfId="0">
      <alignment horizontal="general" vertical="bottom"/>
    </xf>
    <xf numFmtId="0" fontId="16" fillId="23" borderId="58" applyAlignment="1" pivotButton="0" quotePrefix="0" xfId="0">
      <alignment horizontal="general" vertical="bottom"/>
    </xf>
    <xf numFmtId="0" fontId="16" fillId="22" borderId="59" applyAlignment="1" pivotButton="0" quotePrefix="0" xfId="0">
      <alignment horizontal="general" vertical="bottom"/>
    </xf>
    <xf numFmtId="0" fontId="16" fillId="7" borderId="57" applyAlignment="1" pivotButton="0" quotePrefix="0" xfId="0">
      <alignment horizontal="general" vertical="bottom"/>
    </xf>
    <xf numFmtId="0" fontId="16" fillId="24" borderId="59" applyAlignment="1" pivotButton="0" quotePrefix="0" xfId="0">
      <alignment horizontal="general" vertical="bottom"/>
    </xf>
    <xf numFmtId="0" fontId="16" fillId="42" borderId="28" applyAlignment="1" pivotButton="0" quotePrefix="0" xfId="0">
      <alignment horizontal="general" vertical="bottom"/>
    </xf>
    <xf numFmtId="0" fontId="16" fillId="21" borderId="44" applyAlignment="1" pivotButton="0" quotePrefix="0" xfId="0">
      <alignment horizontal="general" vertical="bottom"/>
    </xf>
    <xf numFmtId="0" fontId="16" fillId="22" borderId="39" applyAlignment="1" pivotButton="0" quotePrefix="0" xfId="0">
      <alignment horizontal="general" vertical="bottom"/>
    </xf>
    <xf numFmtId="0" fontId="16" fillId="7" borderId="36" applyAlignment="1" pivotButton="0" quotePrefix="0" xfId="0">
      <alignment horizontal="general" vertical="bottom"/>
    </xf>
    <xf numFmtId="0" fontId="16" fillId="24" borderId="38" applyAlignment="1" pivotButton="0" quotePrefix="0" xfId="0">
      <alignment horizontal="general" vertical="bottom"/>
    </xf>
    <xf numFmtId="0" fontId="16" fillId="34" borderId="59" applyAlignment="1" pivotButton="0" quotePrefix="0" xfId="0">
      <alignment horizontal="general" vertical="bottom"/>
    </xf>
    <xf numFmtId="0" fontId="16" fillId="25" borderId="55" applyAlignment="1" pivotButton="0" quotePrefix="0" xfId="0">
      <alignment horizontal="general" vertical="bottom"/>
    </xf>
    <xf numFmtId="0" fontId="16" fillId="45" borderId="58" applyAlignment="1" pivotButton="0" quotePrefix="0" xfId="0">
      <alignment horizontal="general" vertical="bottom"/>
    </xf>
    <xf numFmtId="0" fontId="16" fillId="42" borderId="35" applyAlignment="1" pivotButton="0" quotePrefix="0" xfId="0">
      <alignment horizontal="general" vertical="bottom"/>
    </xf>
    <xf numFmtId="0" fontId="16" fillId="43" borderId="51" applyAlignment="1" pivotButton="0" quotePrefix="0" xfId="0">
      <alignment horizontal="general" vertical="bottom"/>
    </xf>
    <xf numFmtId="0" fontId="16" fillId="46" borderId="27" applyAlignment="1" pivotButton="0" quotePrefix="0" xfId="0">
      <alignment horizontal="general" vertical="bottom"/>
    </xf>
    <xf numFmtId="0" fontId="16" fillId="34" borderId="37" applyAlignment="1" pivotButton="0" quotePrefix="0" xfId="0">
      <alignment horizontal="general" vertical="bottom"/>
    </xf>
    <xf numFmtId="0" fontId="16" fillId="45" borderId="38" applyAlignment="1" pivotButton="0" quotePrefix="0" xfId="0">
      <alignment horizontal="general" vertical="bottom"/>
    </xf>
    <xf numFmtId="0" fontId="16" fillId="22" borderId="44" applyAlignment="1" pivotButton="0" quotePrefix="0" xfId="0">
      <alignment horizontal="general" vertical="bottom"/>
    </xf>
    <xf numFmtId="0" fontId="16" fillId="42" borderId="37" applyAlignment="1" pivotButton="0" quotePrefix="0" xfId="0">
      <alignment horizontal="general" vertical="bottom"/>
    </xf>
    <xf numFmtId="0" fontId="16" fillId="46" borderId="31" applyAlignment="1" pivotButton="0" quotePrefix="0" xfId="0">
      <alignment horizontal="general" vertical="bottom"/>
    </xf>
    <xf numFmtId="0" fontId="16" fillId="25" borderId="51" applyAlignment="1" pivotButton="0" quotePrefix="0" xfId="0">
      <alignment horizontal="general" vertical="bottom"/>
    </xf>
    <xf numFmtId="0" fontId="16" fillId="22" borderId="36" applyAlignment="1" pivotButton="0" quotePrefix="0" xfId="0">
      <alignment horizontal="general" vertical="bottom"/>
    </xf>
    <xf numFmtId="0" fontId="16" fillId="42" borderId="56" applyAlignment="1" pivotButton="0" quotePrefix="0" xfId="0">
      <alignment horizontal="general" vertical="bottom"/>
    </xf>
    <xf numFmtId="0" fontId="16" fillId="26" borderId="46" applyAlignment="1" pivotButton="0" quotePrefix="0" xfId="0">
      <alignment horizontal="general" vertical="bottom"/>
    </xf>
    <xf numFmtId="0" fontId="16" fillId="46" borderId="36" applyAlignment="1" pivotButton="0" quotePrefix="0" xfId="0">
      <alignment horizontal="general" vertical="bottom"/>
    </xf>
    <xf numFmtId="0" fontId="16" fillId="42" borderId="27" applyAlignment="1" pivotButton="0" quotePrefix="0" xfId="0">
      <alignment horizontal="general" vertical="bottom"/>
    </xf>
    <xf numFmtId="0" fontId="16" fillId="5" borderId="39" applyAlignment="1" pivotButton="0" quotePrefix="0" xfId="0">
      <alignment horizontal="general" vertical="bottom"/>
    </xf>
    <xf numFmtId="0" fontId="16" fillId="22" borderId="50" applyAlignment="1" pivotButton="0" quotePrefix="0" xfId="0">
      <alignment horizontal="general" vertical="bottom"/>
    </xf>
    <xf numFmtId="0" fontId="16" fillId="34" borderId="43" applyAlignment="1" pivotButton="0" quotePrefix="0" xfId="0">
      <alignment horizontal="general" vertical="bottom"/>
    </xf>
    <xf numFmtId="0" fontId="16" fillId="45" borderId="40" applyAlignment="1" pivotButton="0" quotePrefix="0" xfId="0">
      <alignment horizontal="general" vertical="bottom"/>
    </xf>
    <xf numFmtId="0" fontId="16" fillId="8" borderId="41" applyAlignment="1" pivotButton="0" quotePrefix="0" xfId="0">
      <alignment horizontal="general" vertical="bottom"/>
    </xf>
    <xf numFmtId="0" fontId="16" fillId="46" borderId="41" applyAlignment="1" pivotButton="0" quotePrefix="0" xfId="0">
      <alignment horizontal="general" vertical="bottom"/>
    </xf>
    <xf numFmtId="0" fontId="16" fillId="42" borderId="31" applyAlignment="1" pivotButton="0" quotePrefix="0" xfId="0">
      <alignment horizontal="general" vertical="bottom"/>
    </xf>
    <xf numFmtId="0" fontId="16" fillId="8" borderId="35" applyAlignment="1" pivotButton="0" quotePrefix="0" xfId="0">
      <alignment horizontal="general" vertical="bottom"/>
    </xf>
    <xf numFmtId="0" fontId="16" fillId="47" borderId="48" applyAlignment="1" pivotButton="0" quotePrefix="0" xfId="0">
      <alignment horizontal="general" vertical="bottom"/>
    </xf>
    <xf numFmtId="0" fontId="16" fillId="8" borderId="43" applyAlignment="1" pivotButton="0" quotePrefix="0" xfId="0">
      <alignment horizontal="general" vertical="bottom"/>
    </xf>
    <xf numFmtId="0" fontId="16" fillId="47" borderId="44" applyAlignment="1" pivotButton="0" quotePrefix="0" xfId="0">
      <alignment horizontal="general" vertical="bottom"/>
    </xf>
    <xf numFmtId="0" fontId="16" fillId="47" borderId="38" applyAlignment="1" pivotButton="0" quotePrefix="0" xfId="0">
      <alignment horizontal="general" vertical="bottom"/>
    </xf>
    <xf numFmtId="0" fontId="16" fillId="34" borderId="35" applyAlignment="1" pivotButton="0" quotePrefix="0" xfId="0">
      <alignment horizontal="general" vertical="bottom"/>
    </xf>
    <xf numFmtId="0" fontId="16" fillId="23" borderId="45" applyAlignment="1" pivotButton="0" quotePrefix="0" xfId="0">
      <alignment horizontal="general" vertical="bottom"/>
    </xf>
    <xf numFmtId="0" fontId="16" fillId="45" borderId="48" applyAlignment="1" pivotButton="0" quotePrefix="0" xfId="0">
      <alignment horizontal="general" vertical="bottom"/>
    </xf>
    <xf numFmtId="0" fontId="16" fillId="47" borderId="41" applyAlignment="1" pivotButton="0" quotePrefix="0" xfId="0">
      <alignment horizontal="general" vertical="bottom"/>
    </xf>
    <xf numFmtId="0" fontId="16" fillId="46" borderId="35" applyAlignment="1" pivotButton="0" quotePrefix="0" xfId="0">
      <alignment horizontal="general" vertical="bottom"/>
    </xf>
    <xf numFmtId="0" fontId="16" fillId="42" borderId="32" applyAlignment="1" pivotButton="0" quotePrefix="0" xfId="0">
      <alignment horizontal="general" vertical="bottom"/>
    </xf>
    <xf numFmtId="0" fontId="16" fillId="46" borderId="38" applyAlignment="1" pivotButton="0" quotePrefix="0" xfId="0">
      <alignment horizontal="general" vertical="bottom"/>
    </xf>
    <xf numFmtId="0" fontId="16" fillId="47" borderId="40" applyAlignment="1" pivotButton="0" quotePrefix="0" xfId="0">
      <alignment horizontal="general" vertical="bottom"/>
    </xf>
    <xf numFmtId="0" fontId="16" fillId="24" borderId="40" applyAlignment="1" pivotButton="0" quotePrefix="0" xfId="0">
      <alignment horizontal="general" vertical="bottom"/>
    </xf>
    <xf numFmtId="0" fontId="16" fillId="33" borderId="36" applyAlignment="1" pivotButton="0" quotePrefix="0" xfId="0">
      <alignment horizontal="general" vertical="bottom"/>
    </xf>
    <xf numFmtId="0" fontId="16" fillId="47" borderId="27" applyAlignment="1" pivotButton="0" quotePrefix="0" xfId="0">
      <alignment horizontal="general" vertical="bottom"/>
    </xf>
    <xf numFmtId="0" fontId="16" fillId="26" borderId="19" applyAlignment="1" pivotButton="0" quotePrefix="0" xfId="0">
      <alignment horizontal="general" vertical="bottom"/>
    </xf>
    <xf numFmtId="0" fontId="16" fillId="34" borderId="36" applyAlignment="1" pivotButton="0" quotePrefix="0" xfId="0">
      <alignment horizontal="general" vertical="bottom"/>
    </xf>
    <xf numFmtId="0" fontId="16" fillId="24" borderId="58" applyAlignment="1" pivotButton="0" quotePrefix="0" xfId="0">
      <alignment horizontal="general" vertical="bottom"/>
    </xf>
    <xf numFmtId="0" fontId="16" fillId="8" borderId="45" applyAlignment="1" pivotButton="0" quotePrefix="0" xfId="0">
      <alignment horizontal="general" vertical="bottom"/>
    </xf>
    <xf numFmtId="0" fontId="16" fillId="47" borderId="31" applyAlignment="1" pivotButton="0" quotePrefix="0" xfId="0">
      <alignment horizontal="general" vertical="bottom"/>
    </xf>
    <xf numFmtId="0" fontId="16" fillId="34" borderId="39" applyAlignment="1" pivotButton="0" quotePrefix="0" xfId="0">
      <alignment horizontal="general" vertical="bottom"/>
    </xf>
    <xf numFmtId="0" fontId="23" fillId="47" borderId="39" applyAlignment="1" pivotButton="0" quotePrefix="0" xfId="0">
      <alignment horizontal="general" vertical="bottom"/>
    </xf>
    <xf numFmtId="0" fontId="16" fillId="46" borderId="40" applyAlignment="1" pivotButton="0" quotePrefix="0" xfId="0">
      <alignment horizontal="general" vertical="bottom"/>
    </xf>
    <xf numFmtId="0" fontId="16" fillId="8" borderId="50" applyAlignment="1" pivotButton="0" quotePrefix="0" xfId="0">
      <alignment horizontal="general" vertical="bottom"/>
    </xf>
    <xf numFmtId="0" fontId="16" fillId="47" borderId="32" applyAlignment="1" pivotButton="0" quotePrefix="0" xfId="0">
      <alignment horizontal="general" vertical="bottom"/>
    </xf>
    <xf numFmtId="0" fontId="16" fillId="34" borderId="44" applyAlignment="1" pivotButton="0" quotePrefix="0" xfId="0">
      <alignment horizontal="general" vertical="bottom"/>
    </xf>
    <xf numFmtId="0" fontId="16" fillId="46" borderId="48" applyAlignment="1" pivotButton="0" quotePrefix="0" xfId="0">
      <alignment horizontal="general" vertical="bottom"/>
    </xf>
    <xf numFmtId="0" fontId="16" fillId="33" borderId="45" applyAlignment="1" pivotButton="0" quotePrefix="0" xfId="0">
      <alignment horizontal="general" vertical="bottom"/>
    </xf>
    <xf numFmtId="0" fontId="16" fillId="42" borderId="36" applyAlignment="1" pivotButton="0" quotePrefix="0" xfId="0">
      <alignment horizontal="general" vertical="bottom"/>
    </xf>
    <xf numFmtId="0" fontId="16" fillId="26" borderId="22" applyAlignment="1" pivotButton="0" quotePrefix="0" xfId="0">
      <alignment horizontal="general" vertical="bottom"/>
    </xf>
    <xf numFmtId="0" fontId="16" fillId="42" borderId="39" applyAlignment="1" pivotButton="0" quotePrefix="0" xfId="0">
      <alignment horizontal="general" vertical="bottom"/>
    </xf>
    <xf numFmtId="0" fontId="16" fillId="42" borderId="38" applyAlignment="1" pivotButton="0" quotePrefix="0" xfId="0">
      <alignment horizontal="general" vertical="bottom"/>
    </xf>
    <xf numFmtId="0" fontId="16" fillId="7" borderId="32" applyAlignment="1" pivotButton="0" quotePrefix="0" xfId="0">
      <alignment horizontal="general" vertical="bottom"/>
    </xf>
    <xf numFmtId="0" fontId="16" fillId="7" borderId="48" applyAlignment="1" pivotButton="0" quotePrefix="0" xfId="0">
      <alignment horizontal="general" vertical="bottom"/>
    </xf>
    <xf numFmtId="0" fontId="16" fillId="42" borderId="40" applyAlignment="1" pivotButton="0" quotePrefix="0" xfId="0">
      <alignment horizontal="general" vertical="bottom"/>
    </xf>
    <xf numFmtId="0" fontId="16" fillId="7" borderId="38" applyAlignment="1" pivotButton="0" quotePrefix="0" xfId="0">
      <alignment horizontal="general" vertical="bottom"/>
    </xf>
    <xf numFmtId="0" fontId="23" fillId="0" borderId="28" applyAlignment="1" pivotButton="0" quotePrefix="0" xfId="0">
      <alignment horizontal="general" vertical="bottom"/>
    </xf>
    <xf numFmtId="0" fontId="16" fillId="42" borderId="44" applyAlignment="1" pivotButton="0" quotePrefix="0" xfId="0">
      <alignment horizontal="general" vertical="bottom"/>
    </xf>
    <xf numFmtId="0" fontId="16" fillId="5" borderId="7" applyAlignment="1" pivotButton="0" quotePrefix="0" xfId="0">
      <alignment horizontal="general" vertical="bottom"/>
    </xf>
    <xf numFmtId="0" fontId="16" fillId="7" borderId="40" applyAlignment="1" pivotButton="0" quotePrefix="0" xfId="0">
      <alignment horizontal="general" vertical="bottom"/>
    </xf>
    <xf numFmtId="0" fontId="29" fillId="0" borderId="13" applyAlignment="1" pivotButton="0" quotePrefix="0" xfId="0">
      <alignment horizontal="general" vertical="bottom"/>
    </xf>
    <xf numFmtId="0" fontId="16" fillId="24" borderId="32" applyAlignment="1" pivotButton="0" quotePrefix="0" xfId="0">
      <alignment horizontal="general" vertical="bottom"/>
    </xf>
    <xf numFmtId="0" fontId="16" fillId="0" borderId="22" applyAlignment="1" pivotButton="0" quotePrefix="0" xfId="0">
      <alignment horizontal="general" vertical="bottom"/>
    </xf>
    <xf numFmtId="166" fontId="18" fillId="45" borderId="7" applyAlignment="1" pivotButton="0" quotePrefix="0" xfId="0">
      <alignment horizontal="general" vertical="bottom"/>
    </xf>
    <xf numFmtId="166" fontId="16" fillId="6" borderId="5" applyAlignment="1" pivotButton="0" quotePrefix="0" xfId="0">
      <alignment horizontal="general" vertical="bottom"/>
    </xf>
    <xf numFmtId="0" fontId="22" fillId="8" borderId="7" applyAlignment="1" pivotButton="0" quotePrefix="0" xfId="0">
      <alignment horizontal="center" vertical="bottom"/>
    </xf>
    <xf numFmtId="0" fontId="23" fillId="13" borderId="3" applyAlignment="1" pivotButton="0" quotePrefix="0" xfId="0">
      <alignment horizontal="center" vertical="bottom"/>
    </xf>
    <xf numFmtId="0" fontId="0" fillId="0" borderId="52" pivotButton="0" quotePrefix="0" xfId="0"/>
    <xf numFmtId="0" fontId="0" fillId="0" borderId="65" pivotButton="0" quotePrefix="0" xfId="0"/>
    <xf numFmtId="0" fontId="23" fillId="0" borderId="21" applyAlignment="1" pivotButton="0" quotePrefix="0" xfId="0">
      <alignment horizontal="general" vertical="bottom"/>
    </xf>
    <xf numFmtId="0" fontId="23" fillId="0" borderId="56" applyAlignment="1" pivotButton="0" quotePrefix="0" xfId="0">
      <alignment horizontal="general" vertical="bottom"/>
    </xf>
    <xf numFmtId="166" fontId="23" fillId="0" borderId="60" applyAlignment="1" pivotButton="0" quotePrefix="0" xfId="0">
      <alignment horizontal="general" vertical="bottom"/>
    </xf>
    <xf numFmtId="166" fontId="22" fillId="0" borderId="6" applyAlignment="1" pivotButton="0" quotePrefix="0" xfId="0">
      <alignment horizontal="general" vertical="bottom"/>
    </xf>
    <xf numFmtId="0" fontId="23" fillId="0" borderId="6" applyAlignment="1" pivotButton="0" quotePrefix="0" xfId="0">
      <alignment horizontal="general" vertical="bottom"/>
    </xf>
    <xf numFmtId="166" fontId="22" fillId="0" borderId="23" applyAlignment="1" pivotButton="0" quotePrefix="0" xfId="0">
      <alignment horizontal="general" vertical="bottom"/>
    </xf>
    <xf numFmtId="0" fontId="23" fillId="5" borderId="7" applyAlignment="1" pivotButton="0" quotePrefix="0" xfId="0">
      <alignment horizontal="center" vertical="bottom"/>
    </xf>
    <xf numFmtId="0" fontId="23" fillId="28" borderId="10" applyAlignment="1" pivotButton="0" quotePrefix="0" xfId="0">
      <alignment horizontal="center" vertical="bottom"/>
    </xf>
    <xf numFmtId="3" fontId="34" fillId="0" borderId="1" applyAlignment="1" pivotButton="0" quotePrefix="0" xfId="0">
      <alignment horizontal="general" vertical="bottom"/>
    </xf>
    <xf numFmtId="0" fontId="35" fillId="0" borderId="0" pivotButton="0" quotePrefix="0" xfId="0"/>
    <xf numFmtId="0" fontId="36" fillId="48" borderId="67" applyAlignment="1" pivotButton="0" quotePrefix="0" xfId="0">
      <alignment horizontal="center" wrapText="1"/>
    </xf>
    <xf numFmtId="0" fontId="37" fillId="0" borderId="67" applyAlignment="1" pivotButton="0" quotePrefix="0" xfId="0">
      <alignment horizontal="center"/>
    </xf>
    <xf numFmtId="0" fontId="37" fillId="0" borderId="67" pivotButton="0" quotePrefix="0" xfId="0"/>
    <xf numFmtId="168" fontId="37" fillId="0" borderId="67" applyAlignment="1" pivotButton="0" quotePrefix="0" xfId="0">
      <alignment horizontal="center"/>
    </xf>
    <xf numFmtId="9" fontId="37" fillId="49" borderId="67" applyAlignment="1" pivotButton="0" quotePrefix="0" xfId="0">
      <alignment horizontal="center"/>
    </xf>
    <xf numFmtId="0" fontId="37" fillId="49" borderId="67" applyAlignment="1" pivotButton="0" quotePrefix="0" xfId="0">
      <alignment horizontal="center"/>
    </xf>
    <xf numFmtId="9" fontId="37" fillId="50" borderId="67" applyAlignment="1" pivotButton="0" quotePrefix="0" xfId="0">
      <alignment horizontal="center"/>
    </xf>
    <xf numFmtId="0" fontId="37" fillId="51" borderId="67" applyAlignment="1" pivotButton="0" quotePrefix="0" xfId="0">
      <alignment horizontal="center"/>
    </xf>
    <xf numFmtId="9" fontId="37" fillId="51" borderId="67" applyAlignment="1" pivotButton="0" quotePrefix="0" xfId="0">
      <alignment horizontal="center"/>
    </xf>
    <xf numFmtId="0" fontId="37" fillId="50" borderId="67" applyAlignment="1" pivotButton="0" quotePrefix="0" xfId="0">
      <alignment horizontal="center"/>
    </xf>
    <xf numFmtId="0" fontId="37" fillId="52" borderId="67" applyAlignment="1" pivotButton="0" quotePrefix="0" xfId="0">
      <alignment horizontal="center"/>
    </xf>
    <xf numFmtId="0" fontId="38" fillId="0" borderId="0" pivotButton="0" quotePrefix="0" xfId="0"/>
    <xf numFmtId="0" fontId="37" fillId="0" borderId="0" pivotButton="0" quotePrefix="0" xfId="0"/>
    <xf numFmtId="0" fontId="39" fillId="0" borderId="0" applyAlignment="1" pivotButton="0" quotePrefix="0" xfId="0">
      <alignment horizontal="center"/>
    </xf>
    <xf numFmtId="168" fontId="37" fillId="0" borderId="67" applyAlignment="1" pivotButton="0" quotePrefix="0" xfId="0">
      <alignment horizontal="center"/>
    </xf>
    <xf numFmtId="0" fontId="40" fillId="0" borderId="67" pivotButton="0" quotePrefix="0" xfId="0"/>
    <xf numFmtId="3" fontId="40" fillId="0" borderId="67" pivotButton="0" quotePrefix="0" xfId="0"/>
    <xf numFmtId="3" fontId="37" fillId="0" borderId="67" applyAlignment="1" pivotButton="0" quotePrefix="0" xfId="0">
      <alignment horizontal="right"/>
    </xf>
    <xf numFmtId="0" fontId="37" fillId="50" borderId="67" pivotButton="0" quotePrefix="0" xfId="0"/>
    <xf numFmtId="0" fontId="6" fillId="51" borderId="1" applyAlignment="1" pivotButton="0" quotePrefix="0" xfId="0">
      <alignment horizontal="general" vertical="bottom"/>
    </xf>
    <xf numFmtId="3" fontId="34" fillId="51" borderId="1" applyAlignment="1" pivotButton="0" quotePrefix="0" xfId="0">
      <alignment horizontal="general" vertical="bottom"/>
    </xf>
    <xf numFmtId="3" fontId="6" fillId="51" borderId="1" applyAlignment="1" pivotButton="0" quotePrefix="0" xfId="0">
      <alignment horizontal="general" vertical="bottom"/>
    </xf>
    <xf numFmtId="3" fontId="8" fillId="51" borderId="1" applyAlignment="1" pivotButton="0" quotePrefix="0" xfId="0">
      <alignment horizontal="general" vertical="bottom"/>
    </xf>
    <xf numFmtId="0" fontId="41" fillId="0" borderId="0" pivotButton="0" quotePrefix="0" xfId="0"/>
    <xf numFmtId="0" fontId="36" fillId="53" borderId="67" applyAlignment="1" pivotButton="0" quotePrefix="0" xfId="0">
      <alignment horizontal="center" wrapText="1"/>
    </xf>
    <xf numFmtId="0" fontId="42" fillId="0" borderId="67" applyAlignment="1" pivotButton="0" quotePrefix="0" xfId="0">
      <alignment horizontal="center"/>
    </xf>
    <xf numFmtId="0" fontId="40" fillId="0" borderId="67" applyAlignment="1" pivotButton="0" quotePrefix="0" xfId="0">
      <alignment horizontal="center"/>
    </xf>
    <xf numFmtId="3" fontId="39" fillId="0" borderId="67" applyAlignment="1" pivotButton="0" quotePrefix="0" xfId="0">
      <alignment horizontal="right"/>
    </xf>
    <xf numFmtId="0" fontId="39" fillId="0" borderId="0" applyAlignment="1" pivotButton="0" quotePrefix="0" xfId="0">
      <alignment horizontal="left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47D359"/>
      <rgbColor rgb="FF0000FF"/>
      <rgbColor rgb="FFFFFF00"/>
      <rgbColor rgb="FFFFA6FA"/>
      <rgbColor rgb="FF7CEB99"/>
      <rgbColor rgb="FFE2EFDA"/>
      <rgbColor rgb="FFC1F0C8"/>
      <rgbColor rgb="FF000080"/>
      <rgbColor rgb="FF8ED973"/>
      <rgbColor rgb="FFFFC6C6"/>
      <rgbColor rgb="FF84E291"/>
      <rgbColor rgb="FFB4C6E7"/>
      <rgbColor rgb="FF808080"/>
      <rgbColor rgb="FF63A4F7"/>
      <rgbColor rgb="FFFF565A"/>
      <rgbColor rgb="FFFFF2CC"/>
      <rgbColor rgb="FFCAEEFB"/>
      <rgbColor rgb="FFFBE3D6"/>
      <rgbColor rgb="FFFF90A0"/>
      <rgbColor rgb="FF0563C1"/>
      <rgbColor rgb="FFD9D9D9"/>
      <rgbColor rgb="FF000080"/>
      <rgbColor rgb="FFF6C3FF"/>
      <rgbColor rgb="FFB4E5A2"/>
      <rgbColor rgb="FF83CBEB"/>
      <rgbColor rgb="FFF2CFEE"/>
      <rgbColor rgb="FFF2F2F2"/>
      <rgbColor rgb="FF96DCF8"/>
      <rgbColor rgb="FF0000FF"/>
      <rgbColor rgb="FF00B0F0"/>
      <rgbColor rgb="FFDCEAF7"/>
      <rgbColor rgb="FFC2F1C8"/>
      <rgbColor rgb="FFE6FFA2"/>
      <rgbColor rgb="FFA6CAEC"/>
      <rgbColor rgb="FFE59EDD"/>
      <rgbColor rgb="FFC189F7"/>
      <rgbColor rgb="FFF7C7AC"/>
      <rgbColor rgb="FF4E95D9"/>
      <rgbColor rgb="FF47D45A"/>
      <rgbColor rgb="FF92D050"/>
      <rgbColor rgb="FFFFC000"/>
      <rgbColor rgb="FFF2AA84"/>
      <rgbColor rgb="FFE97132"/>
      <rgbColor rgb="FFD86ECC"/>
      <rgbColor rgb="FFAEAEAE"/>
      <rgbColor rgb="FFDAE9F8"/>
      <rgbColor rgb="FF00B050"/>
      <rgbColor rgb="FFD9F2D0"/>
      <rgbColor rgb="FFC1E5F5"/>
      <rgbColor rgb="FFF6C6AD"/>
      <rgbColor rgb="FFE4AFF5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omments/comment1.xml><?xml version="1.0" encoding="utf-8"?>
<comments xmlns="http://schemas.openxmlformats.org/spreadsheetml/2006/main">
  <authors>
    <author>Audit Trail</author>
  </authors>
  <commentList>
    <comment ref="B4" authorId="0" shapeId="0">
      <text>
        <t>Source: Johnstons
Sheet: 'Clients Nov 2025', Block: row 1 col 1, Income total: row 8 col 3</t>
      </text>
    </comment>
    <comment ref="C4" authorId="0" shapeId="0">
      <text>
        <t>Source: Johnstons
Sheet: 'Clients Dec 2025', Block: row 1 col 1, Income total: row 8 col 3</t>
      </text>
    </comment>
    <comment ref="D4" authorId="0" shapeId="0">
      <text>
        <t>Source: Johnstons- monthly
Sheet: 'Clients Jan 2026', Block: row 1 col 1, Income total: row 8 col 3</t>
      </text>
    </comment>
    <comment ref="E4" authorId="0" shapeId="0">
      <text>
        <t>Source: Johnstons- monthly
Sheet: 'Clients Feb 2026', Block: row 1 col 1, Income total: row 8 col 3</t>
      </text>
    </comment>
    <comment ref="F4" authorId="0" shapeId="0">
      <text>
        <t>Source: Johnstons- monthly
Sheet: 'Client Mar 2026', Block: row 1 col 1, Income total: row 8 col 3</t>
      </text>
    </comment>
    <comment ref="G4" authorId="0" shapeId="0">
      <text>
        <t>Source: Johnstons- monthly
Sheet: 'Client Apr 2026', Block: row 1 col 1, Income total: row 8 col 3</t>
      </text>
    </comment>
    <comment ref="B5" authorId="0" shapeId="0">
      <text>
        <t>Source: Van Der Linde
Sheet: 'Clients Nov 2025', Block: row 1 col 5, Income total: row 8 col 7</t>
      </text>
    </comment>
    <comment ref="C5" authorId="0" shapeId="0">
      <text>
        <t>Source: Van Der Linde
Sheet: 'Clients Dec 2025', Block: row 1 col 5, Income total: row 8 col 7</t>
      </text>
    </comment>
    <comment ref="D5" authorId="0" shapeId="0">
      <text>
        <t>Source: Van Der Linde- monthly
Sheet: 'Clients Jan 2026', Block: row 1 col 5, Income total: row 8 col 7</t>
      </text>
    </comment>
    <comment ref="E5" authorId="0" shapeId="0">
      <text>
        <t>Source: Van Der Linde- monthly
Sheet: 'Clients Feb 2026', Block: row 1 col 5, Income total: row 8 col 7</t>
      </text>
    </comment>
    <comment ref="F5" authorId="0" shapeId="0">
      <text>
        <t>Source: Van Der Linde- monthly
Sheet: 'Client Mar 2026', Block: row 1 col 5, Income total: row 8 col 7</t>
      </text>
    </comment>
    <comment ref="B6" authorId="0" shapeId="0">
      <text>
        <t>Source: Hennie
Sheet: 'Clients Nov 2025', Block: row 1 col 9, Income total: row 8 col 11</t>
      </text>
    </comment>
    <comment ref="C6" authorId="0" shapeId="0">
      <text>
        <t>Source: Hennie
Sheet: 'Clients Dec 2025', Block: row 1 col 9, Income total: row 8 col 11</t>
      </text>
    </comment>
    <comment ref="B7" authorId="0" shapeId="0">
      <text>
        <t>Source: John Bierman
Sheet: 'Clients Nov 2025', Block: row 1 col 13, Income total: row 8 col 15</t>
      </text>
    </comment>
    <comment ref="C7" authorId="0" shapeId="0">
      <text>
        <t>Source: John Bierman
Sheet: 'Clients Dec 2025', Block: row 1 col 13, Income total: row 8 col 15</t>
      </text>
    </comment>
    <comment ref="D7" authorId="0" shapeId="0">
      <text>
        <t>Source: John Bierman- monthly
Sheet: 'Clients Jan 2026', Block: row 1 col 13, Income total: row 8 col 15</t>
      </text>
    </comment>
    <comment ref="E7" authorId="0" shapeId="0">
      <text>
        <t>Source: John Bierman- monthly
Sheet: 'Clients Feb 2026', Block: row 1 col 13, Income total: row 8 col 15</t>
      </text>
    </comment>
    <comment ref="F7" authorId="0" shapeId="0">
      <text>
        <t>Source: John Bierman- monthly
Sheet: 'Client Mar 2026', Block: row 1 col 9, Income total: row 8 col 11</t>
      </text>
    </comment>
    <comment ref="G7" authorId="0" shapeId="0">
      <text>
        <t>Source: John Bierman- monthly
Sheet: 'Client Apr 2026', Block: row 1 col 5, Income total: row 8 col 7</t>
      </text>
    </comment>
    <comment ref="B8" authorId="0" shapeId="0">
      <text>
        <t>Source: Hillery
Sheet: 'Clients Nov 2025', Block: row 1 col 17, Income total: row 8 col 19</t>
      </text>
    </comment>
    <comment ref="C8" authorId="0" shapeId="0">
      <text>
        <t>Source: Hillery
Sheet: 'Clients Dec 2025', Block: row 1 col 17, Income total: row 8 col 19</t>
      </text>
    </comment>
    <comment ref="B9" authorId="0" shapeId="0">
      <text>
        <t>Source: Van Vuuren
Sheet: 'Clients Nov 2025', Block: row 26 col 1, Income total: row 34 col 3</t>
      </text>
    </comment>
    <comment ref="B10" authorId="0" shapeId="0">
      <text>
        <t>Source: Trevor Botes
Sheet: 'Clients Nov 2025', Block: row 26 col 5, Income total: row 34 col 7</t>
      </text>
    </comment>
    <comment ref="C10" authorId="0" shapeId="0">
      <text>
        <t>Source: Trevor Botes
Sheet: 'Clients Dec 2025', Block: row 26 col 5, Income total: row 34 col 7</t>
      </text>
    </comment>
    <comment ref="D10" authorId="0" shapeId="0">
      <text>
        <t>Source: Trevor Botes- monthly
Sheet: 'Clients Jan 2026', Block: row 26 col 5, Income total: row 33 col 7</t>
      </text>
    </comment>
    <comment ref="E10" authorId="0" shapeId="0">
      <text>
        <t>Source: Trevor Botes- monthly
Sheet: 'Clients Feb 2026', Block: row 26 col 5, Income total: row 33 col 7</t>
      </text>
    </comment>
    <comment ref="F10" authorId="0" shapeId="0">
      <text>
        <t>Source: Trevor Botes- monthly
Sheet: 'Client Mar 2026', Block: row 1 col 17, Income total: row 8 col 19</t>
      </text>
    </comment>
    <comment ref="G10" authorId="0" shapeId="0">
      <text>
        <t>Source: Trevor Botes- monthly
Sheet: 'Client Apr 2026', Block: row 1 col 9, Income total: row 8 col 11</t>
      </text>
    </comment>
    <comment ref="B11" authorId="0" shapeId="0">
      <text>
        <t>Source: Johann Roos
Sheet: 'Clients Nov 2025', Block: row 26 col 9, Income total: row 34 col 11</t>
      </text>
    </comment>
    <comment ref="C11" authorId="0" shapeId="0">
      <text>
        <t>Source: Johann Roos
Sheet: 'Clients Dec 2025', Block: row 26 col 9, Income total: row 34 col 11</t>
      </text>
    </comment>
    <comment ref="D11" authorId="0" shapeId="0">
      <text>
        <t>Source: Johann Roos
Sheet: 'Clients Jan 2026', Block: row 26 col 9, Income total: row 33 col 11</t>
      </text>
    </comment>
    <comment ref="B12" authorId="0" shapeId="0">
      <text>
        <t>Source: Ishaan/Elizabth
Sheet: 'Clients Nov 2025', Block: row 26 col 13, Income total: row 34 col 15</t>
      </text>
    </comment>
    <comment ref="B13" authorId="0" shapeId="0">
      <text>
        <t>Source: Androilla/ Praxia
Sheet: 'Clients Nov 2025', Block: row 26 col 17, Income total: row 34 col 19</t>
      </text>
    </comment>
    <comment ref="C13" authorId="0" shapeId="0">
      <text>
        <t>Source: Androilla/ Praxia
Sheet: 'Clients Dec 2025', Block: row 26 col 17, Income total: row 34 col 19</t>
      </text>
    </comment>
    <comment ref="B14" authorId="0" shapeId="0">
      <text>
        <t>Source: Jacomina/Charl
Sheet: 'Clients Nov 2025', Block: row 52 col 1, Income total: row 58 col 3</t>
      </text>
    </comment>
    <comment ref="B15" authorId="0" shapeId="0">
      <text>
        <t>Source: Herman/Rene
Sheet: 'Clients Nov 2025', Block: row 52 col 5, Income total: row 58 col 7</t>
      </text>
    </comment>
    <comment ref="B16" authorId="0" shapeId="0">
      <text>
        <t>Source: Lorraine Hatton
Sheet: 'Clients Nov 2025', Block: row 52 col 9, Income total: row 58 col 11</t>
      </text>
    </comment>
    <comment ref="B17" authorId="0" shapeId="0">
      <text>
        <t>Source: Johanna Van Heerden
Sheet: 'Clients Nov 2025', Block: row 52 col 13, Income total: row 58 col 15</t>
      </text>
    </comment>
    <comment ref="C17" authorId="0" shapeId="0">
      <text>
        <t>Source: Johanna Van Heerden
Sheet: 'Clients Dec 2025', Block: row 52 col 9, Income total: row 59 col 11</t>
      </text>
    </comment>
    <comment ref="D17" authorId="0" shapeId="0">
      <text>
        <t>Source: Johanna Van Heerden- monthly
Sheet: 'Clients Jan 2026', Block: row 51 col 9, Income total: row 59 col 11</t>
      </text>
    </comment>
    <comment ref="E17" authorId="0" shapeId="0">
      <text>
        <t>Source: Johanna Van Heerden- monthly
Sheet: 'Clients Feb 2026', Block: row 51 col 9, Income total: row 59 col 11</t>
      </text>
    </comment>
    <comment ref="F17" authorId="0" shapeId="0">
      <text>
        <t>Source: Johanna Van Heerden- monthly
Sheet: 'Client Mar 2026', Block: row 26 col 17, Income total: row 34 col 19</t>
      </text>
    </comment>
    <comment ref="G17" authorId="0" shapeId="0">
      <text>
        <t>Source: Johanna Van Heerden- monthly
Sheet: 'Client Apr 2026', Block: row 26 col 5, Income total: row 34 col 7</t>
      </text>
    </comment>
    <comment ref="B18" authorId="0" shapeId="0">
      <text>
        <t>Source: Dirk Le Roux
Sheet: 'Clients Nov 2025', Block: row 52 col 17, Income total: row 59 col 19</t>
      </text>
    </comment>
    <comment ref="C18" authorId="0" shapeId="0">
      <text>
        <t>Source: Dirk Le Roux
Sheet: 'Clients Dec 2025', Block: row 26 col 13, Income total: row 34 col 15</t>
      </text>
    </comment>
    <comment ref="D18" authorId="0" shapeId="0">
      <text>
        <t>Source: Dirk Le Roux- monthly
Sheet: 'Clients Jan 2026', Block: row 26 col 13, Income total: row 33 col 15</t>
      </text>
    </comment>
    <comment ref="E18" authorId="0" shapeId="0">
      <text>
        <t>Source: Dirk Le Roux- monthly
Sheet: 'Clients Feb 2026', Block: row 26 col 13, Income total: row 33 col 15</t>
      </text>
    </comment>
    <comment ref="F18" authorId="0" shapeId="0">
      <text>
        <t>Source: Dirk Le Roux- monthly
Sheet: 'Client Mar 2026', Block: row 1 col 21, Income total: row 8 col 23</t>
      </text>
    </comment>
    <comment ref="G18" authorId="0" shapeId="0">
      <text>
        <t>Source: Dirk Le Roux- monthly
Sheet: 'Client Apr 2026', Block: row 1 col 13, Income total: row 8 col 15</t>
      </text>
    </comment>
    <comment ref="B19" authorId="0" shapeId="0">
      <text>
        <t>Source: Mia Rus
Sheet: 'Clients Nov 2025', Block: row 76 col 1, Income total: row 82 col 3</t>
      </text>
    </comment>
    <comment ref="C19" authorId="0" shapeId="0">
      <text>
        <t>Source: Mia Rus
Sheet: 'Clients Dec 2025', Block: row 52 col 5, Income total: row 59 col 7</t>
      </text>
    </comment>
    <comment ref="D19" authorId="0" shapeId="0">
      <text>
        <t>Source: Mia Rus- monthly
Sheet: 'Clients Jan 2026', Block: row 51 col 5, Income total: row 59 col 7</t>
      </text>
    </comment>
    <comment ref="C20" authorId="0" shapeId="0">
      <text>
        <t>Source: Julian Sam
Sheet: 'Clients Dec 2025', Block: row 26 col 1, Income total: row 34 col 3</t>
      </text>
    </comment>
    <comment ref="D20" authorId="0" shapeId="0">
      <text>
        <t>Source: Julian Sam
Sheet: 'Clients Jan 2026', Block: row 26 col 1, Income total: row 33 col 3</t>
      </text>
    </comment>
    <comment ref="E20" authorId="0" shapeId="0">
      <text>
        <t>Source: Julian Sam
Sheet: 'Clients Feb 2026', Block: row 26 col 1, Income total: row 33 col 3</t>
      </text>
    </comment>
    <comment ref="C21" authorId="0" shapeId="0">
      <text>
        <t>Source: Lucy
Sheet: 'Clients Dec 2025', Block: row 52 col 1, Income total: row 59 col 3</t>
      </text>
    </comment>
    <comment ref="C22" authorId="0" shapeId="0">
      <text>
        <t>Source: Andre Theron
Sheet: 'Clients Dec 2025', Block: row 52 col 13, Income total: row 59 col 15</t>
      </text>
    </comment>
    <comment ref="D22" authorId="0" shapeId="0">
      <text>
        <t>Source: Andre Theron- monthly
Sheet: 'Clients Jan 2026', Block: row 51 col 13, Income total: row 59 col 15</t>
      </text>
    </comment>
    <comment ref="E22" authorId="0" shapeId="0">
      <text>
        <t>Source: Andre Theron- monthly
Sheet: 'Clients Feb 2026', Block: row 51 col 13, Income total: row 59 col 15</t>
      </text>
    </comment>
    <comment ref="F22" authorId="0" shapeId="0">
      <text>
        <t>Source: Andre Theron- monthly
Sheet: 'Client Mar 2026', Block: row 51 col 13, Income total: row 59 col 15</t>
      </text>
    </comment>
    <comment ref="C23" authorId="0" shapeId="0">
      <text>
        <t>Source: Angela/ Dimitri Paoadopoulos
Sheet: 'Clients Dec 2025', Block: row 52 col 17, Income total: row 59 col 19</t>
      </text>
    </comment>
    <comment ref="D23" authorId="0" shapeId="0">
      <text>
        <t>Source: Angela/ Dimitri Paoadopoulos- weekly
Sheet: 'Clients Jan 2026', Block: row 51 col 17, Income total: row 59 col 19</t>
      </text>
    </comment>
    <comment ref="E23" authorId="0" shapeId="0">
      <text>
        <t>Source: Angela/ Dimitri Paoadopoulos- weekly
Sheet: 'Clients Feb 2026', Block: row 26 col 17, Income total: row 34 col 19</t>
      </text>
    </comment>
    <comment ref="F23" authorId="0" shapeId="0">
      <text>
        <t>Source: Angela/ Dimitri Paoadopoulos- weekly
Sheet: 'Client Mar 2026', Block: row 26 col 1, Income total: row 34 col 3</t>
      </text>
    </comment>
    <comment ref="G23" authorId="0" shapeId="0">
      <text>
        <t>Source: Angela/ Dimitri Paoadopoulos
Sheet: 'Client Apr 2026', Block: row 76 col 1, Income total: row 84 col 3</t>
      </text>
    </comment>
    <comment ref="C24" authorId="0" shapeId="0">
      <text>
        <t>Source: Marlanie
Sheet: 'Clients Dec 2025', Block: row 77 col 1, Income total: row 84 col 3</t>
      </text>
    </comment>
    <comment ref="C25" authorId="0" shapeId="0">
      <text>
        <t>Source: Scroope
Sheet: 'Clients Dec 2025', Block: row 77 col 5, Income total: row 84 col 7</t>
      </text>
    </comment>
    <comment ref="D25" authorId="0" shapeId="0">
      <text>
        <t>Source: Scroope
Sheet: 'Clients Jan 2026', Block: row 1 col 21, Income total: row 8 col 23</t>
      </text>
    </comment>
    <comment ref="E25" authorId="0" shapeId="0">
      <text>
        <t>Source: Scroope
Sheet: 'Clients Feb 2026', Block: row 1 col 21, Income total: row 8 col 23</t>
      </text>
    </comment>
    <comment ref="F25" authorId="0" shapeId="0">
      <text>
        <t>Source: Scroope
Sheet: 'Client Mar 2026', Block: row 1 col 13, Income total: row 8 col 15</t>
      </text>
    </comment>
    <comment ref="G25" authorId="0" shapeId="0">
      <text>
        <t>Source: Scroope
Sheet: 'Client Apr 2026', Block: row 51 col 9, Income total: row 59 col 11</t>
      </text>
    </comment>
    <comment ref="C26" authorId="0" shapeId="0">
      <text>
        <t>Source: Nozi
Sheet: 'Clients Dec 2025', Block: row 77 col 9, Income total: row 84 col 11</t>
      </text>
    </comment>
    <comment ref="C27" authorId="0" shapeId="0">
      <text>
        <t>Source: Trish
Sheet: 'Clients Dec 2025', Block: row 77 col 13, Income total: row 84 col 15</t>
      </text>
    </comment>
    <comment ref="D28" authorId="0" shapeId="0">
      <text>
        <t>Source: Rene Lotz/ Wilhelm
Sheet: 'Clients Jan 2026', Block: row 1 col 9, Income total: row 8 col 11</t>
      </text>
    </comment>
    <comment ref="E28" authorId="0" shapeId="0">
      <text>
        <t>Source: Rene Lotz/ Wilhelm
Sheet: 'Clients Feb 2026', Block: row 1 col 9, Income total: row 8 col 11</t>
      </text>
    </comment>
    <comment ref="D29" authorId="0" shapeId="0">
      <text>
        <t>Source: Natasha Naranjee
Sheet: 'Clients Jan 2026', Block: row 1 col 17, Income total: row 8 col 19</t>
      </text>
    </comment>
    <comment ref="D30" authorId="0" shapeId="0">
      <text>
        <t>Source: Kotie Jacoba
Sheet: 'Clients Jan 2026', Block: row 26 col 17, Income total: row 33 col 19</t>
      </text>
    </comment>
    <comment ref="D31" authorId="0" shapeId="0">
      <text>
        <t>Source: Christina Botha (Transfer)
Sheet: 'Clients Jan 2026', Block: row 26 col 21, Income total: row 33 col 23</t>
      </text>
    </comment>
    <comment ref="D32" authorId="0" shapeId="0">
      <text>
        <t>Source: Julia Ann
Sheet: 'Clients Jan 2026', Block: row 51 col 1, Income total: row 59 col 3</t>
      </text>
    </comment>
    <comment ref="D33" authorId="0" shapeId="0">
      <text>
        <t>Source: Du Plessis
Sheet: 'Clients Jan 2026', Block: row 51 col 21, Income total: row 59 col 23</t>
      </text>
    </comment>
    <comment ref="E33" authorId="0" shapeId="0">
      <text>
        <t>Source: Du Plessis
Sheet: 'Clients Feb 2026', Block: row 26 col 21, Income total: row 34 col 23</t>
      </text>
    </comment>
    <comment ref="F33" authorId="0" shapeId="0">
      <text>
        <t>Source: Du Plessis
Sheet: 'Client Mar 2026', Block: row 26 col 5, Income total: row 34 col 7</t>
      </text>
    </comment>
    <comment ref="D34" authorId="0" shapeId="0">
      <text>
        <t>Source: Megan Barnes
Sheet: 'Clients Jan 2026', Block: row 77 col 1, Income total: row 85 col 3</t>
      </text>
    </comment>
    <comment ref="E34" authorId="0" shapeId="0">
      <text>
        <t>Source: Megan Barnes
Sheet: 'Clients Feb 2026', Block: row 51 col 5, Income total: row 59 col 7</t>
      </text>
    </comment>
    <comment ref="F34" authorId="0" shapeId="0">
      <text>
        <t>Source: Megan Barnes
Sheet: 'Client Mar 2026', Block: row 26 col 13, Income total: row 34 col 15</t>
      </text>
    </comment>
    <comment ref="G34" authorId="0" shapeId="0">
      <text>
        <t>Source: Megan Barnes
Sheet: 'Client Apr 2026', Block: row 26 col 1, Income total: row 34 col 3</t>
      </text>
    </comment>
    <comment ref="D35" authorId="0" shapeId="0">
      <text>
        <t>Source: Darren Blumenthal
Sheet: 'Clients Jan 2026', Block: row 77 col 5, Income total: row 85 col 7</t>
      </text>
    </comment>
    <comment ref="E36" authorId="0" shapeId="0">
      <text>
        <t>Source: Wessels
Sheet: 'Clients Feb 2026', Block: row 1 col 17, Income total: row 4 col 19</t>
      </text>
    </comment>
    <comment ref="E37" authorId="0" shapeId="0">
      <text>
        <t>Source: Berthe Botha
Sheet: 'Clients Feb 2026', Block: row 26 col 9, Income total: row 33 col 11</t>
      </text>
    </comment>
    <comment ref="E38" authorId="0" shapeId="0">
      <text>
        <t>Source: Mia Ras- monthly
Sheet: 'Clients Feb 2026', Block: row 51 col 1, Income total: row 59 col 3</t>
      </text>
    </comment>
    <comment ref="F38" authorId="0" shapeId="0">
      <text>
        <t>Source: Mia Ras- monthly
Sheet: 'Client Mar 2026', Block: row 26 col 9, Income total: row 34 col 11</t>
      </text>
    </comment>
    <comment ref="G38" authorId="0" shapeId="0">
      <text>
        <t>Source: Mia Ras- monthly
Sheet: 'Client Apr 2026', Block: row 1 col 17, Income total: row 8 col 19</t>
      </text>
    </comment>
    <comment ref="E39" authorId="0" shapeId="0">
      <text>
        <t>Source: Derek Halls
Sheet: 'Clients Feb 2026', Block: row 51 col 17, Income total: row 59 col 19</t>
      </text>
    </comment>
    <comment ref="F39" authorId="0" shapeId="0">
      <text>
        <t>Source: Derek Halls
Sheet: 'Client Mar 2026', Block: row 26 col 21, Income total: row 34 col 23</t>
      </text>
    </comment>
    <comment ref="G39" authorId="0" shapeId="0">
      <text>
        <t>Source: Derek Halls
Sheet: 'Client Apr 2026', Block: row 26 col 9, Income total: row 34 col 11</t>
      </text>
    </comment>
    <comment ref="E40" authorId="0" shapeId="0">
      <text>
        <t>Source: Morrison
Sheet: 'Clients Feb 2026', Block: row 51 col 21, Income total: row 59 col 23</t>
      </text>
    </comment>
    <comment ref="F40" authorId="0" shapeId="0">
      <text>
        <t>Source: Morrison
Sheet: 'Client Mar 2026', Block: row 51 col 21, Income total: row 59 col 23</t>
      </text>
    </comment>
    <comment ref="E41" authorId="0" shapeId="0">
      <text>
        <t>Source: Kotie- Rental
Sheet: 'Clients Feb 2026', Block: row 77 col 1, Income total: row 85 col 3</t>
      </text>
    </comment>
    <comment ref="F41" authorId="0" shapeId="0">
      <text>
        <t>Source: Kotie- Rental
Sheet: 'Client Mar 2026', Block: row 77 col 1, Income total: row 85 col 3</t>
      </text>
    </comment>
    <comment ref="E42" authorId="0" shapeId="0">
      <text>
        <t>Source: Scholtz
Sheet: 'Clients Feb 2026', Block: row 77 col 5, Income total: row 85 col 7</t>
      </text>
    </comment>
    <comment ref="F42" authorId="0" shapeId="0">
      <text>
        <t>Source: Scholtz
Sheet: 'Client Mar 2026', Block: row 77 col 5, Income total: row 85 col 7</t>
      </text>
    </comment>
    <comment ref="E43" authorId="0" shapeId="0">
      <text>
        <t>Source: Maria Burgum- Weekly
Sheet: 'Clients Feb 2026', Block: row 77 col 9, Income total: row 85 col 11</t>
      </text>
    </comment>
    <comment ref="F43" authorId="0" shapeId="0">
      <text>
        <t>Source: Maria Burgum- Weekly
Sheet: 'Client Mar 2026', Block: row 77 col 9, Income total: row 85 col 11</t>
      </text>
    </comment>
    <comment ref="G43" authorId="0" shapeId="0">
      <text>
        <t>Source: Maria Burgum
Sheet: 'Client Apr 2026', Block: row 76 col 5, Income total: row 84 col 7</t>
      </text>
    </comment>
    <comment ref="E44" authorId="0" shapeId="0">
      <text>
        <t>Source: Jean Place
Sheet: 'Clients Feb 2026', Block: row 77 col 13, Income total: row 85 col 15</t>
      </text>
    </comment>
    <comment ref="F44" authorId="0" shapeId="0">
      <text>
        <t>Source: Jean Place
Sheet: 'Client Mar 2026', Block: row 77 col 13, Income total: row 85 col 15</t>
      </text>
    </comment>
    <comment ref="E45" authorId="0" shapeId="0">
      <text>
        <t>Source: Roux- Esme
Sheet: 'Clients Feb 2026', Block: row 77 col 17, Income total: row 85 col 19</t>
      </text>
    </comment>
    <comment ref="F45" authorId="0" shapeId="0">
      <text>
        <t>Source: Roux- Esme
Sheet: 'Client Mar 2026', Block: row 51 col 1, Income total: row 59 col 3</t>
      </text>
    </comment>
    <comment ref="E46" authorId="0" shapeId="0">
      <text>
        <t>Source: Carolina Richards
Sheet: 'Clients Feb 2026', Block: row 77 col 21, Income total: row 85 col 23</t>
      </text>
    </comment>
    <comment ref="F46" authorId="0" shapeId="0">
      <text>
        <t>Source: Carolina Richards
Sheet: 'Client Mar 2026', Block: row 51 col 5, Income total: row 59 col 7</t>
      </text>
    </comment>
    <comment ref="G46" authorId="0" shapeId="0">
      <text>
        <t>Source: Carolina Richards
Sheet: 'Client Apr 2026', Block: row 26 col 13, Income total: row 34 col 15</t>
      </text>
    </comment>
    <comment ref="E47" authorId="0" shapeId="0">
      <text>
        <t>Source: Webb- Sonja
Sheet: 'Clients Feb 2026', Block: row 103 col 1, Income total: row 111 col 3</t>
      </text>
    </comment>
    <comment ref="F47" authorId="0" shapeId="0">
      <text>
        <t>Source: Webb- Sonja
Sheet: 'Client Mar 2026', Block: row 51 col 9, Income total: row 59 col 11</t>
      </text>
    </comment>
    <comment ref="G47" authorId="0" shapeId="0">
      <text>
        <t>Source: Webb- Sonja
Sheet: 'Client Apr 2026', Block: row 26 col 17, Income total: row 34 col 19</t>
      </text>
    </comment>
    <comment ref="E48" authorId="0" shapeId="0">
      <text>
        <t>Source: Oosthuizen- Weekly
Sheet: 'Clients Feb 2026', Block: row 103 col 5, Income total: row 111 col 7</t>
      </text>
    </comment>
    <comment ref="F48" authorId="0" shapeId="0">
      <text>
        <t>Source: Oosthuizen- Weekly
Sheet: 'Client Mar 2026', Block: row 77 col 17, Income total: row 85 col 19</t>
      </text>
    </comment>
    <comment ref="E49" authorId="0" shapeId="0">
      <text>
        <t>Source: O'Neill
Sheet: 'Clients Feb 2026', Block: row 103 col 9, Income total: row 111 col 11</t>
      </text>
    </comment>
    <comment ref="F49" authorId="0" shapeId="0">
      <text>
        <t>Source: O'Neill
Sheet: 'Client Mar 2026', Block: row 77 col 21, Income total: row 85 col 23</t>
      </text>
    </comment>
    <comment ref="G49" authorId="0" shapeId="0">
      <text>
        <t>Source: O'Neill
Sheet: 'Client Apr 2026', Block: row 51 col 5, Income total: row 59 col 7</t>
      </text>
    </comment>
    <comment ref="E50" authorId="0" shapeId="0">
      <text>
        <t>Source: De Waal
Sheet: 'Clients Feb 2026', Block: row 103 col 13, Income total: row 111 col 15</t>
      </text>
    </comment>
    <comment ref="F50" authorId="0" shapeId="0">
      <text>
        <t>Source: De Waal- weekly
Sheet: 'Client Mar 2026', Block: row 51 col 17, Income total: row 59 col 19</t>
      </text>
    </comment>
    <comment ref="G50" authorId="0" shapeId="0">
      <text>
        <t>Source: De Waal- weekly
Sheet: 'Client Apr 2026', Block: row 51 col 1, Income total: row 59 col 3</t>
      </text>
    </comment>
    <comment ref="F51" authorId="0" shapeId="0">
      <text>
        <t>Source: Fisher
Sheet: 'Client Mar 2026', Block: row 103 col 1, Income total: row 111 col 3</t>
      </text>
    </comment>
    <comment ref="G51" authorId="0" shapeId="0">
      <text>
        <t>Source: Fisher
Sheet: 'Client Apr 2026', Block: row 51 col 13, Income total: row 59 col 15</t>
      </text>
    </comment>
    <comment ref="F52" authorId="0" shapeId="0">
      <text>
        <t>Source: Alberts
Sheet: 'Client Mar 2026', Block: row 103 col 5, Income total: row 111 col 7</t>
      </text>
    </comment>
    <comment ref="F53" authorId="0" shapeId="0">
      <text>
        <t>Source: Peens
Sheet: 'Client Mar 2026', Block: row 103 col 9, Income total: row 111 col 11</t>
      </text>
    </comment>
    <comment ref="F54" authorId="0" shapeId="0">
      <text>
        <t>Source: Ingham
Sheet: 'Client Mar 2026', Block: row 103 col 13, Income total: row 111 col 15</t>
      </text>
    </comment>
    <comment ref="F55" authorId="0" shapeId="0">
      <text>
        <t>Source: Gildenhyus
Sheet: 'Client Mar 2026', Block: row 103 col 17, Income total: row 111 col 19</t>
      </text>
    </comment>
    <comment ref="G56" authorId="0" shapeId="0">
      <text>
        <t>Source: Anton Steyn/ Emce
Sheet: 'Client Apr 2026', Block: row 51 col 17, Income total: row 59 col 19</t>
      </text>
    </comment>
  </commentList>
</comments>
</file>

<file path=xl/comments/comment2.xml><?xml version="1.0" encoding="utf-8"?>
<comments xmlns="http://schemas.openxmlformats.org/spreadsheetml/2006/main">
  <authors>
    <author>Audit Trail</author>
  </authors>
  <commentList>
    <comment ref="B4" authorId="0" shapeId="0">
      <text>
        <t>Source: 'Caregiver Nov 2025'
Row 36, Col C
Daily rate: R600, Days: 16</t>
      </text>
    </comment>
    <comment ref="C4" authorId="0" shapeId="0">
      <text>
        <t>Source: 'Caregiver Dec 2025'
Row 38, Col C
Daily rate: R600, Days: 16</t>
      </text>
    </comment>
    <comment ref="D4" authorId="0" shapeId="0">
      <text>
        <t>Source: 'Caregiver Jan 2026'
Row 38, Col C
Daily rate: R600, Days: 16</t>
      </text>
    </comment>
    <comment ref="E4" authorId="0" shapeId="0">
      <text>
        <t>Source: 'Caregiver Feb 2026'
Row 38, Col C
Daily rate: R600, Days: 19</t>
      </text>
    </comment>
    <comment ref="F4" authorId="0" shapeId="0">
      <text>
        <t>Source: 'Caregiver Mar 2026'
Row 39, Col C
Daily rate: RNone, Days: 22</t>
      </text>
    </comment>
    <comment ref="B5" authorId="0" shapeId="0">
      <text>
        <t>Source: 'Caregiver Nov 2025'
Row 36, Col D
Daily rate: R450, Days: 25</t>
      </text>
    </comment>
    <comment ref="C5" authorId="0" shapeId="0">
      <text>
        <t>Source: 'Caregiver Dec 2025'
Row 38, Col D
Daily rate: R450, Days: 21</t>
      </text>
    </comment>
    <comment ref="D5" authorId="0" shapeId="0">
      <text>
        <t>Source: 'Caregiver Jan 2026'
Row 38, Col D
Daily rate: R450, Days: 24</t>
      </text>
    </comment>
    <comment ref="E5" authorId="0" shapeId="0">
      <text>
        <t>Source: 'Caregiver Feb 2026'
Row 38, Col D
Daily rate: R450, Days: 16</t>
      </text>
    </comment>
    <comment ref="F5" authorId="0" shapeId="0">
      <text>
        <t>Source: 'Caregiver Mar 2026'
Row 39, Col D
Daily rate: R550, Days: 3</t>
      </text>
    </comment>
    <comment ref="B6" authorId="0" shapeId="0">
      <text>
        <t>Source: 'Caregiver Nov 2025'
Row 36, Col E
Daily rate: R450, Days: 7</t>
      </text>
    </comment>
    <comment ref="C6" authorId="0" shapeId="0">
      <text>
        <t>Source: 'Caregiver Dec 2025'
Row 38, Col E
Daily rate: R450, Days: 15</t>
      </text>
    </comment>
    <comment ref="D6" authorId="0" shapeId="0">
      <text>
        <t>Source: 'Caregiver Jan 2026'
Row 38, Col E
Daily rate: R500, Days: 20</t>
      </text>
    </comment>
    <comment ref="E6" authorId="0" shapeId="0">
      <text>
        <t>Source: 'Caregiver Feb 2026'
Row 38, Col E
Daily rate: R500, Days: None</t>
      </text>
    </comment>
    <comment ref="F6" authorId="0" shapeId="0">
      <text>
        <t>Source: 'Caregiver Mar 2026'
Row 39, Col E
Daily rate: R500, Days: 22</t>
      </text>
    </comment>
    <comment ref="B7" authorId="0" shapeId="0">
      <text>
        <t>Source: 'Caregiver Nov 2025'
Row 36, Col F
Daily rate: R450, Days: 8</t>
      </text>
    </comment>
    <comment ref="C7" authorId="0" shapeId="0">
      <text>
        <t>Source: 'Caregiver Dec 2025'
Row 38, Col F
Daily rate: R450, Days: 21</t>
      </text>
    </comment>
    <comment ref="D7" authorId="0" shapeId="0">
      <text>
        <t>Source: 'Caregiver Jan 2026'
Row 38, Col F
Daily rate: R450, Days: 19</t>
      </text>
    </comment>
    <comment ref="E7" authorId="0" shapeId="0">
      <text>
        <t>Source: 'Caregiver Feb 2026'
Row 38, Col F
Daily rate: R450, Days: 16</t>
      </text>
    </comment>
    <comment ref="F7" authorId="0" shapeId="0">
      <text>
        <t>Source: 'Caregiver Mar 2026'
Row 39, Col F
Daily rate: R450, Days: 21</t>
      </text>
    </comment>
    <comment ref="B8" authorId="0" shapeId="0">
      <text>
        <t>Source: 'Caregiver Nov 2025'
Row 36, Col G
Daily rate: R350, Days: 25</t>
      </text>
    </comment>
    <comment ref="C8" authorId="0" shapeId="0">
      <text>
        <t>Source: 'Caregiver Dec 2025'
Row 38, Col G
Daily rate: R350, Days: 12</t>
      </text>
    </comment>
    <comment ref="D8" authorId="0" shapeId="0">
      <text>
        <t>Source: 'Caregiver Jan 2026'
Row 38, Col G
Daily rate: R450, Days: 5</t>
      </text>
    </comment>
    <comment ref="E8" authorId="0" shapeId="0">
      <text>
        <t>Source: 'Caregiver Feb 2026'
Row 38, Col G
Daily rate: R450, Days: 17</t>
      </text>
    </comment>
    <comment ref="F8" authorId="0" shapeId="0">
      <text>
        <t>Source: 'Caregiver Mar 2026'
Row 39, Col G
Daily rate: R450, Days: 17</t>
      </text>
    </comment>
    <comment ref="B9" authorId="0" shapeId="0">
      <text>
        <t>Source: 'Caregiver Nov 2025'
Row 36, Col H
Daily rate: R450, Days: None</t>
      </text>
    </comment>
    <comment ref="C9" authorId="0" shapeId="0">
      <text>
        <t>Source: 'Caregiver Dec 2025'
Row 38, Col H
Daily rate: R450, Days: 15</t>
      </text>
    </comment>
    <comment ref="D9" authorId="0" shapeId="0">
      <text>
        <t>Source: 'Caregiver Jan 2026'
Row 38, Col H
Daily rate: R450, Days: 16</t>
      </text>
    </comment>
    <comment ref="E9" authorId="0" shapeId="0">
      <text>
        <t>Source: 'Caregiver Feb 2026'
Row 38, Col H
Daily rate: R450, Days: 11</t>
      </text>
    </comment>
    <comment ref="F9" authorId="0" shapeId="0">
      <text>
        <t>Source: 'Caregiver Mar 2026'
Row 39, Col H
Daily rate: R450, Days: 15</t>
      </text>
    </comment>
    <comment ref="B10" authorId="0" shapeId="0">
      <text>
        <t>Source: 'Caregiver Nov 2025'
Row 36, Col I
Daily rate: R450, Days: 20</t>
      </text>
    </comment>
    <comment ref="C10" authorId="0" shapeId="0">
      <text>
        <t>Source: 'Caregiver Dec 2025'
Row 38, Col I
Daily rate: R450, Days: 21</t>
      </text>
    </comment>
    <comment ref="D10" authorId="0" shapeId="0">
      <text>
        <t>Source: 'Caregiver Jan 2026'
Row 38, Col I
Daily rate: R450, Days: 21</t>
      </text>
    </comment>
    <comment ref="E10" authorId="0" shapeId="0">
      <text>
        <t>Source: 'Caregiver Feb 2026'
Row 38, Col I
Daily rate: R450, Days: 20</t>
      </text>
    </comment>
    <comment ref="F10" authorId="0" shapeId="0">
      <text>
        <t>Source: 'Caregiver Mar 2026'
Row 39, Col I
Daily rate: R450, Days: 27</t>
      </text>
    </comment>
    <comment ref="B11" authorId="0" shapeId="0">
      <text>
        <t>Source: 'Caregiver Nov 2025'
Row 36, Col J
Daily rate: R550, Days: 19</t>
      </text>
    </comment>
    <comment ref="C11" authorId="0" shapeId="0">
      <text>
        <t>Source: 'Caregiver Dec 2025'
Row 38, Col J
Daily rate: RNone, Days: 23</t>
      </text>
    </comment>
    <comment ref="B12" authorId="0" shapeId="0">
      <text>
        <t>Source: 'Caregiver Nov 2025'
Row 36, Col K
Daily rate: R450, Days: 13</t>
      </text>
    </comment>
    <comment ref="C12" authorId="0" shapeId="0">
      <text>
        <t>Source: 'Caregiver Dec 2025'
Row 38, Col K
Daily rate: R450, Days: None</t>
      </text>
    </comment>
    <comment ref="D12" authorId="0" shapeId="0">
      <text>
        <t>Source: 'Caregiver Jan 2026'
Row 38, Col J
Daily rate: R450, Days: 16</t>
      </text>
    </comment>
    <comment ref="E12" authorId="0" shapeId="0">
      <text>
        <t>Source: 'Caregiver Feb 2026'
Row 38, Col J
Daily rate: R450, Days: 20</t>
      </text>
    </comment>
    <comment ref="F12" authorId="0" shapeId="0">
      <text>
        <t>Source: 'Caregiver Mar 2026'
Row 39, Col J
Daily rate: R450, Days: 22</t>
      </text>
    </comment>
    <comment ref="B13" authorId="0" shapeId="0">
      <text>
        <t>Source: 'Caregiver Nov 2025'
Row 36, Col L
Daily rate: RNone, Days: None</t>
      </text>
    </comment>
    <comment ref="C13" authorId="0" shapeId="0">
      <text>
        <t>Source: 'Caregiver Dec 2025'
Row 38, Col L
Daily rate: RNone, Days: None</t>
      </text>
    </comment>
    <comment ref="D13" authorId="0" shapeId="0">
      <text>
        <t>Source: 'Caregiver Jan 2026'
Row 38, Col K
Daily rate: RNone, Days: None</t>
      </text>
    </comment>
    <comment ref="E13" authorId="0" shapeId="0">
      <text>
        <t>Source: 'Caregiver Feb 2026'
Row 38, Col K
Daily rate: R450, Days: 7</t>
      </text>
    </comment>
    <comment ref="F13" authorId="0" shapeId="0">
      <text>
        <t>Source: 'Caregiver Mar 2026'
Row 39, Col K
Daily rate: R500, Days: 16</t>
      </text>
    </comment>
    <comment ref="B14" authorId="0" shapeId="0">
      <text>
        <t>Source: 'Caregiver Nov 2025'
Row 36, Col M
Daily rate: R450, Days: 14</t>
      </text>
    </comment>
    <comment ref="C14" authorId="0" shapeId="0">
      <text>
        <t>Source: 'Caregiver Dec 2025'
Row 38, Col M
Daily rate: R450, Days: 15</t>
      </text>
    </comment>
    <comment ref="D14" authorId="0" shapeId="0">
      <text>
        <t>Source: 'Caregiver Jan 2026'
Row 38, Col L
Daily rate: R450, Days: 8</t>
      </text>
    </comment>
    <comment ref="E14" authorId="0" shapeId="0">
      <text>
        <t>Source: 'Caregiver Feb 2026'
Row 38, Col L
Daily rate: R450, Days: 7</t>
      </text>
    </comment>
    <comment ref="F14" authorId="0" shapeId="0">
      <text>
        <t>Source: 'Caregiver Mar 2026'
Row 39, Col L
Daily rate: R450, Days: 8</t>
      </text>
    </comment>
    <comment ref="B15" authorId="0" shapeId="0">
      <text>
        <t>Source: 'Caregiver Nov 2025'
Row 36, Col N
Daily rate: R450, Days: 10</t>
      </text>
    </comment>
    <comment ref="C15" authorId="0" shapeId="0">
      <text>
        <t>Source: 'Caregiver Dec 2025'
Row 38, Col N
Daily rate: R334, Days: 10</t>
      </text>
    </comment>
    <comment ref="D15" authorId="0" shapeId="0">
      <text>
        <t>Source: 'Caregiver Jan 2026'
Row 38, Col M
Daily rate: R334, Days: 11</t>
      </text>
    </comment>
    <comment ref="E15" authorId="0" shapeId="0">
      <text>
        <t>Source: 'Caregiver Feb 2026'
Row 38, Col M
Daily rate: R450, Days: 7</t>
      </text>
    </comment>
    <comment ref="F15" authorId="0" shapeId="0">
      <text>
        <t>Source: 'Caregiver Mar 2026'
Row 39, Col M
Daily rate: R450, Days: 20</t>
      </text>
    </comment>
    <comment ref="B16" authorId="0" shapeId="0">
      <text>
        <t>Source: 'Caregiver Nov 2025'
Row 36, Col O
Daily rate: R450, Days: 20</t>
      </text>
    </comment>
    <comment ref="C16" authorId="0" shapeId="0">
      <text>
        <t>Source: 'Caregiver Dec 2025'
Row 38, Col O
Daily rate: R450, Days: 14</t>
      </text>
    </comment>
    <comment ref="D16" authorId="0" shapeId="0">
      <text>
        <t>Source: 'Caregiver Jan 2026'
Row 38, Col N
Daily rate: R450, Days: 14</t>
      </text>
    </comment>
    <comment ref="E16" authorId="0" shapeId="0">
      <text>
        <t>Source: 'Caregiver Feb 2026'
Row 38, Col N
Daily rate: R450, Days: None</t>
      </text>
    </comment>
    <comment ref="F16" authorId="0" shapeId="0">
      <text>
        <t>Source: 'Caregiver Mar 2026'
Row 39, Col N
Daily rate: R450, Days: None</t>
      </text>
    </comment>
    <comment ref="B17" authorId="0" shapeId="0">
      <text>
        <t>Source: 'Caregiver Nov 2025'
Row 36, Col P
Daily rate: R350, Days: 20</t>
      </text>
    </comment>
    <comment ref="C17" authorId="0" shapeId="0">
      <text>
        <t>Source: 'Caregiver Dec 2025'
Row 38, Col P
Daily rate: R305, Days: 17</t>
      </text>
    </comment>
    <comment ref="D17" authorId="0" shapeId="0">
      <text>
        <t>Source: 'Caregiver Jan 2026'
Row 38, Col O
Daily rate: R450, Days: 12</t>
      </text>
    </comment>
    <comment ref="E17" authorId="0" shapeId="0">
      <text>
        <t>Source: 'Caregiver Feb 2026'
Row 38, Col O
Daily rate: R450, Days: 8</t>
      </text>
    </comment>
    <comment ref="F17" authorId="0" shapeId="0">
      <text>
        <t>Source: 'Caregiver Mar 2026'
Row 39, Col O
Daily rate: R450, Days: 13</t>
      </text>
    </comment>
    <comment ref="B18" authorId="0" shapeId="0">
      <text>
        <t>Source: 'Caregiver Nov 2025'
Row 36, Col Q
Daily rate: R450, Days: 2</t>
      </text>
    </comment>
    <comment ref="C18" authorId="0" shapeId="0">
      <text>
        <t>Source: 'Caregiver Dec 2025'
Row 38, Col Q
Daily rate: R450, Days: None</t>
      </text>
    </comment>
    <comment ref="D18" authorId="0" shapeId="0">
      <text>
        <t>Source: 'Caregiver Jan 2026'
Row 38, Col P
Daily rate: R450, Days: None</t>
      </text>
    </comment>
    <comment ref="E18" authorId="0" shapeId="0">
      <text>
        <t>Source: 'Caregiver Feb 2026'
Row 38, Col P
Daily rate: R450, Days: None</t>
      </text>
    </comment>
    <comment ref="F18" authorId="0" shapeId="0">
      <text>
        <t>Source: 'Caregiver Mar 2026'
Row 39, Col P
Daily rate: R450, Days: None</t>
      </text>
    </comment>
    <comment ref="B19" authorId="0" shapeId="0">
      <text>
        <t>Source: 'Caregiver Nov 2025'
Row 36, Col R
Daily rate: R450, Days: 21</t>
      </text>
    </comment>
    <comment ref="C19" authorId="0" shapeId="0">
      <text>
        <t>Source: 'Caregiver Dec 2025'
Row 38, Col R
Daily rate: R450, Days: 21</t>
      </text>
    </comment>
    <comment ref="D19" authorId="0" shapeId="0">
      <text>
        <t>Source: 'Caregiver Jan 2026'
Row 38, Col Q
Daily rate: R450, Days: 17</t>
      </text>
    </comment>
    <comment ref="E19" authorId="0" shapeId="0">
      <text>
        <t>Source: 'Caregiver Feb 2026'
Row 38, Col Q
Daily rate: R450, Days: 21</t>
      </text>
    </comment>
    <comment ref="F19" authorId="0" shapeId="0">
      <text>
        <t>Source: 'Caregiver Mar 2026'
Row 39, Col Q
Daily rate: R450, Days: 22</t>
      </text>
    </comment>
    <comment ref="B20" authorId="0" shapeId="0">
      <text>
        <t>Source: 'Caregiver Nov 2025'
Row 36, Col S
Daily rate: R450, Days: 9</t>
      </text>
    </comment>
    <comment ref="C20" authorId="0" shapeId="0">
      <text>
        <t>Source: 'Caregiver Dec 2025'
Row 38, Col S
Daily rate: R450, Days: 14</t>
      </text>
    </comment>
    <comment ref="D20" authorId="0" shapeId="0">
      <text>
        <t>Source: 'Caregiver Jan 2026'
Row 38, Col R
Daily rate: R450, Days: None</t>
      </text>
    </comment>
    <comment ref="E20" authorId="0" shapeId="0">
      <text>
        <t>Source: 'Caregiver Feb 2026'
Row 38, Col R
Daily rate: R450, Days: None</t>
      </text>
    </comment>
    <comment ref="F20" authorId="0" shapeId="0">
      <text>
        <t>Source: 'Caregiver Mar 2026'
Row 39, Col R
Daily rate: R450, Days: None</t>
      </text>
    </comment>
    <comment ref="B21" authorId="0" shapeId="0">
      <text>
        <t>Source: 'Caregiver Nov 2025'
Row 36, Col T
Daily rate: R450, Days: 20</t>
      </text>
    </comment>
    <comment ref="C21" authorId="0" shapeId="0">
      <text>
        <t>Source: 'Caregiver Dec 2025'
Row 38, Col T
Daily rate: R450, Days: 10</t>
      </text>
    </comment>
    <comment ref="D21" authorId="0" shapeId="0">
      <text>
        <t>Source: 'Caregiver Jan 2026'
Row 38, Col S
Daily rate: R450, Days: 15</t>
      </text>
    </comment>
    <comment ref="E21" authorId="0" shapeId="0">
      <text>
        <t>Source: 'Caregiver Feb 2026'
Row 38, Col S
Daily rate: R450, Days: 12</t>
      </text>
    </comment>
    <comment ref="F21" authorId="0" shapeId="0">
      <text>
        <t>Source: 'Caregiver Mar 2026'
Row 39, Col S
Daily rate: R450, Days: 16</t>
      </text>
    </comment>
    <comment ref="B22" authorId="0" shapeId="0">
      <text>
        <t>Source: 'Caregiver Nov 2025'
Row 36, Col U
Daily rate: R450, Days: 5</t>
      </text>
    </comment>
    <comment ref="C22" authorId="0" shapeId="0">
      <text>
        <t>Source: 'Caregiver Dec 2025'
Row 38, Col U
Daily rate: R450, Days: 17</t>
      </text>
    </comment>
    <comment ref="D22" authorId="0" shapeId="0">
      <text>
        <t>Source: 'Caregiver Jan 2026'
Row 38, Col T
Daily rate: R450, Days: 14</t>
      </text>
    </comment>
    <comment ref="E22" authorId="0" shapeId="0">
      <text>
        <t>Source: 'Caregiver Feb 2026'
Row 38, Col T
Daily rate: R450, Days: 14</t>
      </text>
    </comment>
    <comment ref="F22" authorId="0" shapeId="0">
      <text>
        <t>Source: 'Caregiver Mar 2026'
Row 39, Col T
Daily rate: R450, Days: 1</t>
      </text>
    </comment>
    <comment ref="C23" authorId="0" shapeId="0">
      <text>
        <t>Source: 'Caregiver Dec 2025'
Row 38, Col V
Daily rate: R450, Days: 13</t>
      </text>
    </comment>
    <comment ref="D23" authorId="0" shapeId="0">
      <text>
        <t>Source: 'Caregiver Jan 2026'
Row 38, Col U
Daily rate: R450, Days: 22</t>
      </text>
    </comment>
    <comment ref="E23" authorId="0" shapeId="0">
      <text>
        <t>Source: 'Caregiver Feb 2026'
Row 38, Col U
Daily rate: R450, Days: 18</t>
      </text>
    </comment>
    <comment ref="F23" authorId="0" shapeId="0">
      <text>
        <t>Source: 'Caregiver Mar 2026'
Row 39, Col U
Daily rate: R450, Days: 20</t>
      </text>
    </comment>
    <comment ref="C24" authorId="0" shapeId="0">
      <text>
        <t>Source: 'Caregiver Dec 2025'
Row 38, Col W
Daily rate: R450, Days: 6</t>
      </text>
    </comment>
    <comment ref="C25" authorId="0" shapeId="0">
      <text>
        <t>Source: 'Caregiver Dec 2025'
Row 38, Col X
Daily rate: R450, Days: 7</t>
      </text>
    </comment>
    <comment ref="D25" authorId="0" shapeId="0">
      <text>
        <t>Source: 'Caregiver Jan 2026'
Row 38, Col V
Daily rate: R450, Days: 16</t>
      </text>
    </comment>
    <comment ref="E25" authorId="0" shapeId="0">
      <text>
        <t>Source: 'Caregiver Feb 2026'
Row 38, Col V
Daily rate: R450, Days: 5</t>
      </text>
    </comment>
    <comment ref="F25" authorId="0" shapeId="0">
      <text>
        <t>Source: 'Caregiver Mar 2026'
Row 39, Col V
Daily rate: R450, Days: 13</t>
      </text>
    </comment>
    <comment ref="D26" authorId="0" shapeId="0">
      <text>
        <t>Source: 'Caregiver Jan 2026'
Row 38, Col W
Daily rate: R450, Days: 8</t>
      </text>
    </comment>
    <comment ref="E26" authorId="0" shapeId="0">
      <text>
        <t>Source: 'Caregiver Feb 2026'
Row 38, Col W
Daily rate: R450, Days: None</t>
      </text>
    </comment>
    <comment ref="D27" authorId="0" shapeId="0">
      <text>
        <t>Source: 'Caregiver Jan 2026'
Row 38, Col X
Daily rate: R350, Days: 5</t>
      </text>
    </comment>
    <comment ref="E27" authorId="0" shapeId="0">
      <text>
        <t>Source: 'Caregiver Feb 2026'
Row 38, Col X
Daily rate: R350, Days: 20</t>
      </text>
    </comment>
    <comment ref="F27" authorId="0" shapeId="0">
      <text>
        <t>Source: 'Caregiver Mar 2026'
Row 39, Col W
Daily rate: RNone, Days: 22</t>
      </text>
    </comment>
    <comment ref="D28" authorId="0" shapeId="0">
      <text>
        <t>Source: 'Caregiver Jan 2026'
Row 38, Col Y
Daily rate: R283, Days: 9</t>
      </text>
    </comment>
    <comment ref="E28" authorId="0" shapeId="0">
      <text>
        <t>Source: 'Caregiver Feb 2026'
Row 38, Col Y
Daily rate: R325, Days: None</t>
      </text>
    </comment>
    <comment ref="F28" authorId="0" shapeId="0">
      <text>
        <t>Source: 'Caregiver Mar 2026'
Row 39, Col X
Daily rate: RNone, Days: None</t>
      </text>
    </comment>
    <comment ref="D29" authorId="0" shapeId="0">
      <text>
        <t>Source: 'Caregiver Jan 2026'
Row 38, Col Z
Daily rate: R500, Days: 5</t>
      </text>
    </comment>
    <comment ref="E29" authorId="0" shapeId="0">
      <text>
        <t>Source: 'Caregiver Feb 2026'
Row 38, Col Z
Daily rate: R450, Days: 12</t>
      </text>
    </comment>
    <comment ref="F29" authorId="0" shapeId="0">
      <text>
        <t>Source: 'Caregiver Mar 2026'
Row 39, Col Y
Daily rate: R500, Days: 20</t>
      </text>
    </comment>
    <comment ref="E30" authorId="0" shapeId="0">
      <text>
        <t>Source: 'Caregiver Feb 2026'
Row 38, Col AA
Daily rate: R450, Days: 14</t>
      </text>
    </comment>
    <comment ref="F30" authorId="0" shapeId="0">
      <text>
        <t>Source: 'Caregiver Mar 2026'
Row 39, Col Z
Daily rate: R450, Days: 16</t>
      </text>
    </comment>
    <comment ref="E31" authorId="0" shapeId="0">
      <text>
        <t>Source: 'Caregiver Feb 2026'
Row 38, Col AB
Daily rate: R450, Days: 10</t>
      </text>
    </comment>
    <comment ref="F31" authorId="0" shapeId="0">
      <text>
        <t>Source: 'Caregiver Mar 2026'
Row 39, Col AA
Daily rate: R450, Days: None</t>
      </text>
    </comment>
    <comment ref="E32" authorId="0" shapeId="0">
      <text>
        <t>Source: 'Caregiver Feb 2026'
Row 38, Col AC
Daily rate: R450, Days: 10</t>
      </text>
    </comment>
    <comment ref="E33" authorId="0" shapeId="0">
      <text>
        <t>Source: 'Caregiver Feb 2026'
Row 38, Col AD
Daily rate: R450, Days: 1</t>
      </text>
    </comment>
    <comment ref="F33" authorId="0" shapeId="0">
      <text>
        <t>Source: 'Caregiver Mar 2026'
Row 39, Col AC
Daily rate: R450, Days: None</t>
      </text>
    </comment>
    <comment ref="E34" authorId="0" shapeId="0">
      <text>
        <t>Source: 'Caregiver Feb 2026'
Row 38, Col AE
Daily rate: R450, Days: 8</t>
      </text>
    </comment>
    <comment ref="F34" authorId="0" shapeId="0">
      <text>
        <t>Source: 'Caregiver Mar 2026'
Row 39, Col AD
Daily rate: R500, Days: 4</t>
      </text>
    </comment>
    <comment ref="E35" authorId="0" shapeId="0">
      <text>
        <t>Source: 'Caregiver Feb 2026'
Row 38, Col AF
Daily rate: R450, Days: 3</t>
      </text>
    </comment>
    <comment ref="F35" authorId="0" shapeId="0">
      <text>
        <t>Source: 'Caregiver Mar 2026'
Row 39, Col AE
Daily rate: R450, Days: None</t>
      </text>
    </comment>
    <comment ref="E36" authorId="0" shapeId="0">
      <text>
        <t>Source: 'Caregiver Feb 2026'
Row 38, Col AG
Daily rate: R450, Days: 11</t>
      </text>
    </comment>
    <comment ref="F36" authorId="0" shapeId="0">
      <text>
        <t>Source: 'Caregiver Mar 2026'
Row 39, Col AF
Daily rate: R450, Days: 7</t>
      </text>
    </comment>
    <comment ref="E37" authorId="0" shapeId="0">
      <text>
        <t>Source: 'Caregiver Feb 2026'
Row 38, Col AH
Daily rate: R450, Days: 3</t>
      </text>
    </comment>
    <comment ref="F37" authorId="0" shapeId="0">
      <text>
        <t>Source: 'Caregiver Mar 2026'
Row 39, Col AG
Daily rate: R450, Days: 14</t>
      </text>
    </comment>
    <comment ref="F38" authorId="0" shapeId="0">
      <text>
        <t>Source: 'Caregiver Mar 2026'
Row 39, Col AB
Daily rate: R450, Days: 22</t>
      </text>
    </comment>
    <comment ref="F39" authorId="0" shapeId="0">
      <text>
        <t>Source: 'Caregiver Mar 2026'
Row 39, Col AH
Daily rate: R500, Days: 7</t>
      </text>
    </comment>
    <comment ref="F40" authorId="0" shapeId="0">
      <text>
        <t>Source: 'Caregiver Mar 2026'
Row 39, Col AI
Daily rate: RNone, Days: None</t>
      </text>
    </comment>
    <comment ref="F41" authorId="0" shapeId="0">
      <text>
        <t>Source: 'Caregiver Mar 2026'
Row 39, Col AJ
Daily rate: R450, Days: 14</t>
      </text>
    </comment>
    <comment ref="F42" authorId="0" shapeId="0">
      <text>
        <t>Source: 'Caregiver Mar 2026'
Row 39, Col AK
Daily rate: R450, Days: 12</t>
      </text>
    </comment>
    <comment ref="F43" authorId="0" shapeId="0">
      <text>
        <t>Source: 'Caregiver Mar 2026'
Row 39, Col AL
Daily rate: R500, Days: 5</t>
      </text>
    </comment>
    <comment ref="F44" authorId="0" shapeId="0">
      <text>
        <t>Source: 'Caregiver Mar 2026'
Row 39, Col AM
Daily rate: R500, Days: 6</t>
      </text>
    </comment>
    <comment ref="F45" authorId="0" shapeId="0">
      <text>
        <t>Source: 'Caregiver Mar 2026'
Row 39, Col AN
Daily rate: R450, Days: 7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style="562" min="1" max="1"/>
    <col width="42" customWidth="1" style="562" min="2" max="2"/>
    <col width="14" customWidth="1" style="562" min="3" max="3"/>
    <col width="14" customWidth="1" style="562" min="4" max="4"/>
    <col width="16" customWidth="1" style="562" min="5" max="5"/>
    <col width="12" customWidth="1" style="562" min="6" max="6"/>
    <col width="20" customWidth="1" style="562" min="7" max="7"/>
    <col width="22" customWidth="1" style="562" min="8" max="8"/>
    <col width="38" customWidth="1" style="562" min="9" max="9"/>
    <col width="18" customWidth="1" style="562" min="10" max="10"/>
  </cols>
  <sheetData>
    <row r="1">
      <c r="A1" s="1132" t="inlineStr">
        <is>
          <t>Tuniti Care Hero – Caregiver Training Pipeline</t>
        </is>
      </c>
    </row>
    <row r="3">
      <c r="A3" s="1133" t="inlineStr">
        <is>
          <t>#</t>
        </is>
      </c>
      <c r="B3" s="1133" t="inlineStr">
        <is>
          <t>Caregiver Name</t>
        </is>
      </c>
      <c r="C3" s="1133" t="inlineStr">
        <is>
          <t>Intake</t>
        </is>
      </c>
      <c r="D3" s="1133" t="inlineStr">
        <is>
          <t>Course Start</t>
        </is>
      </c>
      <c r="E3" s="1133" t="inlineStr">
        <is>
          <t>Available From</t>
        </is>
      </c>
      <c r="F3" s="1133" t="inlineStr">
        <is>
          <t>Avg Score</t>
        </is>
      </c>
      <c r="G3" s="1133" t="inlineStr">
        <is>
          <t>Practical Status</t>
        </is>
      </c>
      <c r="H3" s="1133" t="inlineStr">
        <is>
          <t>Qualified</t>
        </is>
      </c>
      <c r="I3" s="1133" t="inlineStr">
        <is>
          <t>Matched Name (Billing)</t>
        </is>
      </c>
      <c r="J3" s="1133" t="inlineStr">
        <is>
          <t>Total Billed (ZAR)</t>
        </is>
      </c>
    </row>
    <row r="4">
      <c r="A4" s="1134" t="n">
        <v>1</v>
      </c>
      <c r="B4" s="1135" t="inlineStr">
        <is>
          <t>Akhona Nomonde Mkize</t>
        </is>
      </c>
      <c r="C4" s="1134" t="inlineStr">
        <is>
          <t>Tranche 1</t>
        </is>
      </c>
      <c r="D4" s="1147" t="n">
        <v>45918</v>
      </c>
      <c r="E4" s="1147" t="n">
        <v>45981</v>
      </c>
      <c r="F4" s="1137" t="n">
        <v>0.9257</v>
      </c>
      <c r="G4" s="1138" t="inlineStr">
        <is>
          <t>Completed</t>
        </is>
      </c>
      <c r="H4" s="1138" t="inlineStr">
        <is>
          <t>Completed 288 Hours</t>
        </is>
      </c>
      <c r="I4" s="1148" t="inlineStr">
        <is>
          <t>—</t>
        </is>
      </c>
      <c r="J4" s="1149" t="n">
        <v>0</v>
      </c>
    </row>
    <row r="5">
      <c r="A5" s="1134" t="n">
        <v>2</v>
      </c>
      <c r="B5" s="1135" t="inlineStr">
        <is>
          <t>Elly Dhlabo</t>
        </is>
      </c>
      <c r="C5" s="1134" t="inlineStr">
        <is>
          <t>Tranche 1</t>
        </is>
      </c>
      <c r="D5" s="1147" t="n">
        <v>45918</v>
      </c>
      <c r="E5" s="1147" t="n">
        <v>45981</v>
      </c>
      <c r="F5" s="1137" t="n">
        <v>0.8486</v>
      </c>
      <c r="G5" s="1138" t="inlineStr">
        <is>
          <t>Completed</t>
        </is>
      </c>
      <c r="H5" s="1138" t="inlineStr">
        <is>
          <t>Completed 288 Hours</t>
        </is>
      </c>
      <c r="I5" s="1148" t="inlineStr">
        <is>
          <t>—</t>
        </is>
      </c>
      <c r="J5" s="1149" t="n">
        <v>0</v>
      </c>
    </row>
    <row r="6">
      <c r="A6" s="1134" t="n">
        <v>3</v>
      </c>
      <c r="B6" s="1135" t="inlineStr">
        <is>
          <t>Jolie Mpunga</t>
        </is>
      </c>
      <c r="C6" s="1134" t="inlineStr">
        <is>
          <t>Tranche 1</t>
        </is>
      </c>
      <c r="D6" s="1147" t="n">
        <v>45918</v>
      </c>
      <c r="E6" s="1147" t="n">
        <v>45981</v>
      </c>
      <c r="F6" s="1139" t="n">
        <v>0.63</v>
      </c>
      <c r="G6" s="1138" t="inlineStr">
        <is>
          <t>Completed</t>
        </is>
      </c>
      <c r="H6" s="1138" t="inlineStr">
        <is>
          <t>Completed 288 Hours</t>
        </is>
      </c>
      <c r="I6" s="1148" t="inlineStr">
        <is>
          <t>—</t>
        </is>
      </c>
      <c r="J6" s="1149" t="n">
        <v>0</v>
      </c>
    </row>
    <row r="7">
      <c r="A7" s="1134" t="n">
        <v>4</v>
      </c>
      <c r="B7" s="1135" t="inlineStr">
        <is>
          <t>Jovani Mukuna Tshibingu</t>
        </is>
      </c>
      <c r="C7" s="1134" t="inlineStr">
        <is>
          <t>Tranche 1</t>
        </is>
      </c>
      <c r="D7" s="1147" t="n">
        <v>45918</v>
      </c>
      <c r="E7" s="1147" t="n">
        <v>45981</v>
      </c>
      <c r="F7" s="1137" t="n">
        <v>0.96</v>
      </c>
      <c r="G7" s="1138" t="inlineStr">
        <is>
          <t>Completed</t>
        </is>
      </c>
      <c r="H7" s="1138" t="inlineStr">
        <is>
          <t>Completed 288 Hours</t>
        </is>
      </c>
      <c r="I7" s="1148" t="inlineStr">
        <is>
          <t>—</t>
        </is>
      </c>
      <c r="J7" s="1149" t="n">
        <v>0</v>
      </c>
    </row>
    <row r="8">
      <c r="A8" s="1134" t="n">
        <v>5</v>
      </c>
      <c r="B8" s="1135" t="inlineStr">
        <is>
          <t>Mafusi Elizabeth Mofokeng</t>
        </is>
      </c>
      <c r="C8" s="1134" t="inlineStr">
        <is>
          <t>Tranche 1</t>
        </is>
      </c>
      <c r="D8" s="1147" t="n">
        <v>45918</v>
      </c>
      <c r="E8" s="1147" t="n">
        <v>45981</v>
      </c>
      <c r="F8" s="1137" t="n">
        <v>0.8571</v>
      </c>
      <c r="G8" s="1138" t="inlineStr">
        <is>
          <t>Completed</t>
        </is>
      </c>
      <c r="H8" s="1138" t="inlineStr">
        <is>
          <t>Completed 288 Hours</t>
        </is>
      </c>
      <c r="I8" s="1148" t="inlineStr">
        <is>
          <t>—</t>
        </is>
      </c>
      <c r="J8" s="1149" t="n">
        <v>0</v>
      </c>
    </row>
    <row r="9">
      <c r="A9" s="1134" t="n">
        <v>6</v>
      </c>
      <c r="B9" s="1135" t="inlineStr">
        <is>
          <t>Minenhle Nkazimulo Fuyane</t>
        </is>
      </c>
      <c r="C9" s="1134" t="inlineStr">
        <is>
          <t>Tranche 1</t>
        </is>
      </c>
      <c r="D9" s="1147" t="n">
        <v>45918</v>
      </c>
      <c r="E9" s="1147" t="n">
        <v>45981</v>
      </c>
      <c r="F9" s="1137" t="n">
        <v>0.8571</v>
      </c>
      <c r="G9" s="1138" t="inlineStr">
        <is>
          <t>Completed</t>
        </is>
      </c>
      <c r="H9" s="1138" t="inlineStr">
        <is>
          <t>Completed 288 Hours</t>
        </is>
      </c>
      <c r="I9" s="1148" t="inlineStr">
        <is>
          <t>—</t>
        </is>
      </c>
      <c r="J9" s="1149" t="n">
        <v>0</v>
      </c>
    </row>
    <row r="10">
      <c r="A10" s="1134" t="n">
        <v>7</v>
      </c>
      <c r="B10" s="1135" t="inlineStr">
        <is>
          <t>Miriam Mehlomakulu</t>
        </is>
      </c>
      <c r="C10" s="1134" t="inlineStr">
        <is>
          <t>Tranche 1</t>
        </is>
      </c>
      <c r="D10" s="1147" t="n">
        <v>45918</v>
      </c>
      <c r="E10" s="1147" t="n">
        <v>45981</v>
      </c>
      <c r="F10" s="1139" t="n">
        <v>0.5367</v>
      </c>
      <c r="G10" s="1138" t="inlineStr">
        <is>
          <t>Completed</t>
        </is>
      </c>
      <c r="H10" s="1138" t="inlineStr">
        <is>
          <t>Completed 288 Hours</t>
        </is>
      </c>
      <c r="I10" s="1148" t="inlineStr">
        <is>
          <t>—</t>
        </is>
      </c>
      <c r="J10" s="1149" t="n">
        <v>0</v>
      </c>
    </row>
    <row r="11">
      <c r="A11" s="1134" t="n">
        <v>8</v>
      </c>
      <c r="B11" s="1135" t="inlineStr">
        <is>
          <t>Mukuna Mbuyi</t>
        </is>
      </c>
      <c r="C11" s="1134" t="inlineStr">
        <is>
          <t>Tranche 1</t>
        </is>
      </c>
      <c r="D11" s="1147" t="n">
        <v>45918</v>
      </c>
      <c r="E11" s="1147" t="n">
        <v>45981</v>
      </c>
      <c r="F11" s="1139" t="n">
        <v>0.6314</v>
      </c>
      <c r="G11" s="1138" t="inlineStr">
        <is>
          <t>Completed</t>
        </is>
      </c>
      <c r="H11" s="1138" t="inlineStr">
        <is>
          <t>Completed 288 Hours</t>
        </is>
      </c>
      <c r="I11" s="1148" t="inlineStr">
        <is>
          <t>—</t>
        </is>
      </c>
      <c r="J11" s="1149" t="n">
        <v>0</v>
      </c>
    </row>
    <row r="12">
      <c r="A12" s="1134" t="n">
        <v>9</v>
      </c>
      <c r="B12" s="1135" t="inlineStr">
        <is>
          <t>Nelly</t>
        </is>
      </c>
      <c r="C12" s="1134" t="inlineStr">
        <is>
          <t>Tranche 1</t>
        </is>
      </c>
      <c r="D12" s="1147" t="n">
        <v>45918</v>
      </c>
      <c r="E12" s="1147" t="n">
        <v>45981</v>
      </c>
      <c r="F12" s="1137" t="n">
        <v>0.76</v>
      </c>
      <c r="G12" s="1140" t="inlineStr">
        <is>
          <t>Relocated</t>
        </is>
      </c>
      <c r="H12" s="1140" t="inlineStr">
        <is>
          <t>No</t>
        </is>
      </c>
      <c r="I12" s="1148" t="inlineStr">
        <is>
          <t>—</t>
        </is>
      </c>
      <c r="J12" s="1149" t="n">
        <v>0</v>
      </c>
    </row>
    <row r="13">
      <c r="A13" s="1134" t="n">
        <v>10</v>
      </c>
      <c r="B13" s="1135" t="inlineStr">
        <is>
          <t>Ramogohlo Daphney Aphane</t>
        </is>
      </c>
      <c r="C13" s="1134" t="inlineStr">
        <is>
          <t>Tranche 1</t>
        </is>
      </c>
      <c r="D13" s="1147" t="n">
        <v>45918</v>
      </c>
      <c r="E13" s="1147" t="n">
        <v>45981</v>
      </c>
      <c r="F13" s="1137" t="n">
        <v>0.7171</v>
      </c>
      <c r="G13" s="1138" t="inlineStr">
        <is>
          <t>Completed</t>
        </is>
      </c>
      <c r="H13" s="1138" t="inlineStr">
        <is>
          <t>Completed 288 Hours</t>
        </is>
      </c>
      <c r="I13" s="1148" t="inlineStr">
        <is>
          <t>—</t>
        </is>
      </c>
      <c r="J13" s="1149" t="n">
        <v>0</v>
      </c>
    </row>
    <row r="14">
      <c r="A14" s="1134" t="n">
        <v>11</v>
      </c>
      <c r="B14" s="1135" t="inlineStr">
        <is>
          <t>Siphiwe Nelly Ezeadum</t>
        </is>
      </c>
      <c r="C14" s="1134" t="inlineStr">
        <is>
          <t>Tranche 1</t>
        </is>
      </c>
      <c r="D14" s="1147" t="n">
        <v>45918</v>
      </c>
      <c r="E14" s="1147" t="n">
        <v>45981</v>
      </c>
      <c r="F14" s="1139" t="n">
        <v>0.5017</v>
      </c>
      <c r="G14" s="1138" t="inlineStr">
        <is>
          <t>Completed</t>
        </is>
      </c>
      <c r="H14" s="1138" t="inlineStr">
        <is>
          <t>Completed 288 Hours</t>
        </is>
      </c>
      <c r="I14" s="1148" t="inlineStr">
        <is>
          <t>—</t>
        </is>
      </c>
      <c r="J14" s="1149" t="n">
        <v>0</v>
      </c>
    </row>
    <row r="15">
      <c r="A15" s="1134" t="n">
        <v>12</v>
      </c>
      <c r="B15" s="1135" t="inlineStr">
        <is>
          <t>Sylvie Lubamba Mbaya</t>
        </is>
      </c>
      <c r="C15" s="1134" t="inlineStr">
        <is>
          <t>Tranche 1</t>
        </is>
      </c>
      <c r="D15" s="1147" t="n">
        <v>45918</v>
      </c>
      <c r="E15" s="1147" t="n">
        <v>45981</v>
      </c>
      <c r="F15" s="1137" t="n">
        <v>0.84</v>
      </c>
      <c r="G15" s="1138" t="inlineStr">
        <is>
          <t>Completed</t>
        </is>
      </c>
      <c r="H15" s="1138" t="inlineStr">
        <is>
          <t>Completed 288 Hours</t>
        </is>
      </c>
      <c r="I15" s="1148" t="inlineStr">
        <is>
          <t>—</t>
        </is>
      </c>
      <c r="J15" s="1149" t="n">
        <v>0</v>
      </c>
    </row>
    <row r="16">
      <c r="A16" s="1134" t="n">
        <v>13</v>
      </c>
      <c r="B16" s="1135" t="inlineStr">
        <is>
          <t>Tanyanyiwa Mahere</t>
        </is>
      </c>
      <c r="C16" s="1134" t="inlineStr">
        <is>
          <t>Tranche 1</t>
        </is>
      </c>
      <c r="D16" s="1147" t="n">
        <v>45918</v>
      </c>
      <c r="E16" s="1147" t="n">
        <v>45981</v>
      </c>
      <c r="F16" s="1137" t="n">
        <v>0.8843</v>
      </c>
      <c r="G16" s="1138" t="inlineStr">
        <is>
          <t>Completed</t>
        </is>
      </c>
      <c r="H16" s="1138" t="inlineStr">
        <is>
          <t>Completed 288 Hours</t>
        </is>
      </c>
      <c r="I16" s="1148" t="inlineStr">
        <is>
          <t>—</t>
        </is>
      </c>
      <c r="J16" s="1149" t="n">
        <v>0</v>
      </c>
    </row>
    <row r="17">
      <c r="A17" s="1134" t="n">
        <v>14</v>
      </c>
      <c r="B17" s="1135" t="inlineStr">
        <is>
          <t>Wisani Precious Mash</t>
        </is>
      </c>
      <c r="C17" s="1134" t="inlineStr">
        <is>
          <t>Tranche 1</t>
        </is>
      </c>
      <c r="D17" s="1147" t="n">
        <v>45918</v>
      </c>
      <c r="E17" s="1147" t="n">
        <v>45981</v>
      </c>
      <c r="F17" s="1139" t="n">
        <v>0.6633</v>
      </c>
      <c r="G17" s="1138" t="inlineStr">
        <is>
          <t>Completed</t>
        </is>
      </c>
      <c r="H17" s="1138" t="inlineStr">
        <is>
          <t>Completed 288 Hours</t>
        </is>
      </c>
      <c r="I17" s="1148" t="inlineStr">
        <is>
          <t>—</t>
        </is>
      </c>
      <c r="J17" s="1149" t="n">
        <v>0</v>
      </c>
    </row>
    <row r="18">
      <c r="A18" s="1134" t="n">
        <v>15</v>
      </c>
      <c r="B18" s="1135" t="inlineStr">
        <is>
          <t>Hlengiwe Bongiwe Xulu</t>
        </is>
      </c>
      <c r="C18" s="1134" t="inlineStr">
        <is>
          <t>Tranche 2</t>
        </is>
      </c>
      <c r="D18" s="1147" t="n">
        <v>45936</v>
      </c>
      <c r="E18" s="1147" t="n">
        <v>45999</v>
      </c>
      <c r="F18" s="1139" t="n">
        <v>0.6133</v>
      </c>
      <c r="G18" s="1138" t="inlineStr">
        <is>
          <t>Completed</t>
        </is>
      </c>
      <c r="H18" s="1138" t="inlineStr">
        <is>
          <t>Completed 288 Hours</t>
        </is>
      </c>
      <c r="I18" s="1148" t="inlineStr">
        <is>
          <t>—</t>
        </is>
      </c>
      <c r="J18" s="1149" t="n">
        <v>0</v>
      </c>
    </row>
    <row r="19">
      <c r="A19" s="1134" t="n">
        <v>16</v>
      </c>
      <c r="B19" s="1135" t="inlineStr">
        <is>
          <t>Jane Mokgaetsi Moekwa</t>
        </is>
      </c>
      <c r="C19" s="1134" t="inlineStr">
        <is>
          <t>Tranche 2</t>
        </is>
      </c>
      <c r="D19" s="1147" t="n">
        <v>45936</v>
      </c>
      <c r="E19" s="1147" t="n">
        <v>45999</v>
      </c>
      <c r="F19" s="1137" t="n">
        <v>0.785</v>
      </c>
      <c r="G19" s="1138" t="inlineStr">
        <is>
          <t>Completed</t>
        </is>
      </c>
      <c r="H19" s="1138" t="inlineStr">
        <is>
          <t>Completed 288 Hours</t>
        </is>
      </c>
      <c r="I19" s="1135" t="inlineStr">
        <is>
          <t>Jane Mokgaetsi Moekwa</t>
        </is>
      </c>
      <c r="J19" s="1150" t="n">
        <v>21328</v>
      </c>
    </row>
    <row r="20">
      <c r="A20" s="1134" t="n">
        <v>17</v>
      </c>
      <c r="B20" s="1135" t="inlineStr">
        <is>
          <t>Jenita Chemedzai Sithole</t>
        </is>
      </c>
      <c r="C20" s="1134" t="inlineStr">
        <is>
          <t>Tranche 2</t>
        </is>
      </c>
      <c r="D20" s="1147" t="n">
        <v>45936</v>
      </c>
      <c r="E20" s="1147" t="n">
        <v>45999</v>
      </c>
      <c r="F20" s="1137" t="n">
        <v>0.8417</v>
      </c>
      <c r="G20" s="1140" t="inlineStr">
        <is>
          <t>Did not demonstrate basic caregiving skills</t>
        </is>
      </c>
      <c r="H20" s="1140" t="inlineStr">
        <is>
          <t>No</t>
        </is>
      </c>
      <c r="I20" s="1148" t="inlineStr">
        <is>
          <t>—</t>
        </is>
      </c>
      <c r="J20" s="1149" t="n">
        <v>0</v>
      </c>
    </row>
    <row r="21">
      <c r="A21" s="1134" t="n">
        <v>18</v>
      </c>
      <c r="B21" s="1135" t="inlineStr">
        <is>
          <t>Lerato Elsie Ngwato</t>
        </is>
      </c>
      <c r="C21" s="1134" t="inlineStr">
        <is>
          <t>Tranche 2</t>
        </is>
      </c>
      <c r="D21" s="1147" t="n">
        <v>45936</v>
      </c>
      <c r="E21" s="1147" t="n">
        <v>45999</v>
      </c>
      <c r="F21" s="1139" t="n">
        <v>0.6983</v>
      </c>
      <c r="G21" s="1138" t="inlineStr">
        <is>
          <t>Completed</t>
        </is>
      </c>
      <c r="H21" s="1138" t="inlineStr">
        <is>
          <t>Completed 288 Hours</t>
        </is>
      </c>
      <c r="I21" s="1148" t="inlineStr">
        <is>
          <t>—</t>
        </is>
      </c>
      <c r="J21" s="1149" t="n">
        <v>0</v>
      </c>
    </row>
    <row r="22">
      <c r="A22" s="1134" t="n">
        <v>19</v>
      </c>
      <c r="B22" s="1135" t="inlineStr">
        <is>
          <t>Mamojalefa Sophy Xaba</t>
        </is>
      </c>
      <c r="C22" s="1134" t="inlineStr">
        <is>
          <t>Tranche 2</t>
        </is>
      </c>
      <c r="D22" s="1147" t="n">
        <v>45936</v>
      </c>
      <c r="E22" s="1147" t="n">
        <v>45999</v>
      </c>
      <c r="F22" s="1137" t="n">
        <v>0.9167</v>
      </c>
      <c r="G22" s="1138" t="inlineStr">
        <is>
          <t>Completed</t>
        </is>
      </c>
      <c r="H22" s="1138" t="inlineStr">
        <is>
          <t>Completed 288 Hours</t>
        </is>
      </c>
      <c r="I22" s="1148" t="inlineStr">
        <is>
          <t>—</t>
        </is>
      </c>
      <c r="J22" s="1149" t="n">
        <v>0</v>
      </c>
    </row>
    <row r="23">
      <c r="A23" s="1134" t="n">
        <v>20</v>
      </c>
      <c r="B23" s="1135" t="inlineStr">
        <is>
          <t>Matodzi Sylvia Mutavhatsindi</t>
        </is>
      </c>
      <c r="C23" s="1134" t="inlineStr">
        <is>
          <t>Tranche 2</t>
        </is>
      </c>
      <c r="D23" s="1147" t="n">
        <v>45936</v>
      </c>
      <c r="E23" s="1147" t="n">
        <v>45999</v>
      </c>
      <c r="F23" s="1139" t="n">
        <v>0.6717</v>
      </c>
      <c r="G23" s="1138" t="inlineStr">
        <is>
          <t>Completed</t>
        </is>
      </c>
      <c r="H23" s="1138" t="inlineStr">
        <is>
          <t>Completed 288 Hours</t>
        </is>
      </c>
      <c r="I23" s="1135" t="inlineStr">
        <is>
          <t>Matodzi Sylvia Mutavhatsindi</t>
        </is>
      </c>
      <c r="J23" s="1150" t="n">
        <v>750</v>
      </c>
    </row>
    <row r="24">
      <c r="A24" s="1134" t="n">
        <v>21</v>
      </c>
      <c r="B24" s="1135" t="inlineStr">
        <is>
          <t>Merriam Mashadi Maluleke</t>
        </is>
      </c>
      <c r="C24" s="1134" t="inlineStr">
        <is>
          <t>Tranche 2</t>
        </is>
      </c>
      <c r="D24" s="1147" t="n">
        <v>45936</v>
      </c>
      <c r="E24" s="1147" t="n">
        <v>45999</v>
      </c>
      <c r="F24" s="1137" t="n">
        <v>0.7217</v>
      </c>
      <c r="G24" s="1138" t="inlineStr">
        <is>
          <t>Completed</t>
        </is>
      </c>
      <c r="H24" s="1138" t="inlineStr">
        <is>
          <t>Completed 288 Hours</t>
        </is>
      </c>
      <c r="I24" s="1151" t="inlineStr">
        <is>
          <t>Merriam Maluleke</t>
        </is>
      </c>
      <c r="J24" s="1150" t="n">
        <v>23464</v>
      </c>
    </row>
    <row r="25">
      <c r="A25" s="1134" t="n">
        <v>22</v>
      </c>
      <c r="B25" s="1135" t="inlineStr">
        <is>
          <t>Mmamaswabi Emma Dhlamini</t>
        </is>
      </c>
      <c r="C25" s="1134" t="inlineStr">
        <is>
          <t>Tranche 2</t>
        </is>
      </c>
      <c r="D25" s="1147" t="n">
        <v>45936</v>
      </c>
      <c r="E25" s="1147" t="n">
        <v>45999</v>
      </c>
      <c r="F25" s="1137" t="n">
        <v>0.8833</v>
      </c>
      <c r="G25" s="1138" t="inlineStr">
        <is>
          <t>Completed</t>
        </is>
      </c>
      <c r="H25" s="1138" t="inlineStr">
        <is>
          <t>Completed 288 Hours</t>
        </is>
      </c>
      <c r="I25" s="1135" t="inlineStr">
        <is>
          <t>Mmamaswabi Emma Dhlamini</t>
        </is>
      </c>
      <c r="J25" s="1150" t="n">
        <v>30200</v>
      </c>
    </row>
    <row r="26">
      <c r="A26" s="1134" t="n">
        <v>23</v>
      </c>
      <c r="B26" s="1135" t="inlineStr">
        <is>
          <t>Ndaizivei Mapenyenye</t>
        </is>
      </c>
      <c r="C26" s="1134" t="inlineStr">
        <is>
          <t>Tranche 2</t>
        </is>
      </c>
      <c r="D26" s="1147" t="n">
        <v>45936</v>
      </c>
      <c r="E26" s="1147" t="n">
        <v>45999</v>
      </c>
      <c r="F26" s="1137" t="n">
        <v>0.8567</v>
      </c>
      <c r="G26" s="1138" t="inlineStr">
        <is>
          <t>Completed</t>
        </is>
      </c>
      <c r="H26" s="1138" t="inlineStr">
        <is>
          <t>Completed 288 Hours</t>
        </is>
      </c>
      <c r="I26" s="1135" t="inlineStr">
        <is>
          <t>Ndai Mapenyenye</t>
        </is>
      </c>
      <c r="J26" s="1150" t="n">
        <v>11150</v>
      </c>
    </row>
    <row r="27">
      <c r="A27" s="1134" t="n">
        <v>24</v>
      </c>
      <c r="B27" s="1135" t="inlineStr">
        <is>
          <t>Refiloe Khuzwayo</t>
        </is>
      </c>
      <c r="C27" s="1134" t="inlineStr">
        <is>
          <t>Tranche 2</t>
        </is>
      </c>
      <c r="D27" s="1147" t="n">
        <v>45936</v>
      </c>
      <c r="E27" s="1147" t="n">
        <v>45999</v>
      </c>
      <c r="F27" s="1137" t="n">
        <v>0.745</v>
      </c>
      <c r="G27" s="1138" t="inlineStr">
        <is>
          <t>Completed</t>
        </is>
      </c>
      <c r="H27" s="1138" t="inlineStr">
        <is>
          <t>Completed 288 Hours</t>
        </is>
      </c>
      <c r="I27" s="1135" t="inlineStr">
        <is>
          <t>Refiloe Khuzwayo</t>
        </is>
      </c>
      <c r="J27" s="1150" t="n">
        <v>10350</v>
      </c>
    </row>
    <row r="28">
      <c r="A28" s="1134" t="n">
        <v>25</v>
      </c>
      <c r="B28" s="1135" t="inlineStr">
        <is>
          <t>Rudo Susan Murire</t>
        </is>
      </c>
      <c r="C28" s="1134" t="inlineStr">
        <is>
          <t>Tranche 2</t>
        </is>
      </c>
      <c r="D28" s="1147" t="n">
        <v>45936</v>
      </c>
      <c r="E28" s="1147" t="n">
        <v>45999</v>
      </c>
      <c r="F28" s="1137" t="n">
        <v>0.7983</v>
      </c>
      <c r="G28" s="1138" t="inlineStr">
        <is>
          <t>Completed</t>
        </is>
      </c>
      <c r="H28" s="1138" t="inlineStr">
        <is>
          <t>Completed 288 Hours</t>
        </is>
      </c>
      <c r="I28" s="1151" t="inlineStr">
        <is>
          <t>Susan Murire</t>
        </is>
      </c>
      <c r="J28" s="1150" t="n">
        <v>32175</v>
      </c>
    </row>
    <row r="29">
      <c r="A29" s="1134" t="n">
        <v>26</v>
      </c>
      <c r="B29" s="1135" t="inlineStr">
        <is>
          <t>Segethi Tabea Molefe</t>
        </is>
      </c>
      <c r="C29" s="1134" t="inlineStr">
        <is>
          <t>Tranche 2</t>
        </is>
      </c>
      <c r="D29" s="1147" t="n">
        <v>45936</v>
      </c>
      <c r="E29" s="1147" t="n">
        <v>45999</v>
      </c>
      <c r="F29" s="1137" t="n">
        <v>0.8717</v>
      </c>
      <c r="G29" s="1138" t="inlineStr">
        <is>
          <t>Completed</t>
        </is>
      </c>
      <c r="H29" s="1138" t="inlineStr">
        <is>
          <t>Completed 288 Hours</t>
        </is>
      </c>
      <c r="I29" s="1148" t="inlineStr">
        <is>
          <t>—</t>
        </is>
      </c>
      <c r="J29" s="1149" t="n">
        <v>0</v>
      </c>
    </row>
    <row r="30">
      <c r="A30" s="1134" t="n">
        <v>27</v>
      </c>
      <c r="B30" s="1135" t="inlineStr">
        <is>
          <t>Siphethokhuhle Nkomo</t>
        </is>
      </c>
      <c r="C30" s="1134" t="inlineStr">
        <is>
          <t>Tranche 2</t>
        </is>
      </c>
      <c r="D30" s="1147" t="n">
        <v>45936</v>
      </c>
      <c r="E30" s="1147" t="n">
        <v>45999</v>
      </c>
      <c r="F30" s="1139" t="n">
        <v>0.5867</v>
      </c>
      <c r="G30" s="1138" t="inlineStr">
        <is>
          <t>Completed</t>
        </is>
      </c>
      <c r="H30" s="1138" t="inlineStr">
        <is>
          <t>Completed 288 Hours</t>
        </is>
      </c>
      <c r="I30" s="1135" t="inlineStr">
        <is>
          <t>Siphethokhuhle Nkomo</t>
        </is>
      </c>
      <c r="J30" s="1150" t="n">
        <v>18200</v>
      </c>
    </row>
    <row r="31">
      <c r="A31" s="1134" t="n">
        <v>28</v>
      </c>
      <c r="B31" s="1135" t="inlineStr">
        <is>
          <t>Siphilisiwe Nkala</t>
        </is>
      </c>
      <c r="C31" s="1134" t="inlineStr">
        <is>
          <t>Tranche 2</t>
        </is>
      </c>
      <c r="D31" s="1147" t="n">
        <v>45936</v>
      </c>
      <c r="E31" s="1147" t="n">
        <v>45999</v>
      </c>
      <c r="F31" s="1137" t="n">
        <v>0.7683</v>
      </c>
      <c r="G31" s="1138" t="inlineStr">
        <is>
          <t>Completed</t>
        </is>
      </c>
      <c r="H31" s="1138" t="inlineStr">
        <is>
          <t>Completed 288 Hours</t>
        </is>
      </c>
      <c r="I31" s="1151" t="inlineStr">
        <is>
          <t>Siphilisiwe Nkala(Patricia)</t>
        </is>
      </c>
      <c r="J31" s="1150" t="n">
        <v>42050</v>
      </c>
    </row>
    <row r="32">
      <c r="A32" s="1134" t="n">
        <v>29</v>
      </c>
      <c r="B32" s="1135" t="inlineStr">
        <is>
          <t>Sylvia Delisile Nene</t>
        </is>
      </c>
      <c r="C32" s="1134" t="inlineStr">
        <is>
          <t>Tranche 2</t>
        </is>
      </c>
      <c r="D32" s="1147" t="n">
        <v>45936</v>
      </c>
      <c r="E32" s="1147" t="n">
        <v>45999</v>
      </c>
      <c r="F32" s="1137" t="n">
        <v>0.825</v>
      </c>
      <c r="G32" s="1138" t="inlineStr">
        <is>
          <t>Completed</t>
        </is>
      </c>
      <c r="H32" s="1138" t="inlineStr">
        <is>
          <t>Completed 288 Hours</t>
        </is>
      </c>
      <c r="I32" s="1148" t="inlineStr">
        <is>
          <t>—</t>
        </is>
      </c>
      <c r="J32" s="1149" t="n">
        <v>0</v>
      </c>
    </row>
    <row r="33">
      <c r="A33" s="1134" t="n">
        <v>30</v>
      </c>
      <c r="B33" s="1135" t="inlineStr">
        <is>
          <t>Thandi Ngobeni</t>
        </is>
      </c>
      <c r="C33" s="1134" t="inlineStr">
        <is>
          <t>Tranche 2</t>
        </is>
      </c>
      <c r="D33" s="1147" t="n">
        <v>45936</v>
      </c>
      <c r="E33" s="1147" t="n">
        <v>45999</v>
      </c>
      <c r="F33" s="1141" t="n">
        <v>0.335</v>
      </c>
      <c r="G33" s="1140" t="inlineStr">
        <is>
          <t>Did not pass final exam.</t>
        </is>
      </c>
      <c r="H33" s="1140" t="inlineStr">
        <is>
          <t>No</t>
        </is>
      </c>
      <c r="I33" s="1148" t="inlineStr">
        <is>
          <t>—</t>
        </is>
      </c>
      <c r="J33" s="1149" t="n">
        <v>0</v>
      </c>
    </row>
    <row r="34">
      <c r="A34" s="1134" t="n">
        <v>31</v>
      </c>
      <c r="B34" s="1135" t="inlineStr">
        <is>
          <t>Tracy Nothando Towera Nyirenda</t>
        </is>
      </c>
      <c r="C34" s="1134" t="inlineStr">
        <is>
          <t>Tranche 2</t>
        </is>
      </c>
      <c r="D34" s="1147" t="n">
        <v>45936</v>
      </c>
      <c r="E34" s="1147" t="n">
        <v>45999</v>
      </c>
      <c r="F34" s="1137" t="n">
        <v>0.9033</v>
      </c>
      <c r="G34" s="1138" t="inlineStr">
        <is>
          <t>Completed</t>
        </is>
      </c>
      <c r="H34" s="1138" t="inlineStr">
        <is>
          <t>Completed 288 Hours</t>
        </is>
      </c>
      <c r="I34" s="1135" t="inlineStr">
        <is>
          <t>Tracy Nothando Nyirenda</t>
        </is>
      </c>
      <c r="J34" s="1150" t="n">
        <v>22250</v>
      </c>
    </row>
    <row r="35">
      <c r="A35" s="1134" t="n">
        <v>32</v>
      </c>
      <c r="B35" s="1135" t="inlineStr">
        <is>
          <t>Bongani Makhathulela</t>
        </is>
      </c>
      <c r="C35" s="1134" t="inlineStr">
        <is>
          <t>Tranche 3</t>
        </is>
      </c>
      <c r="D35" s="1147" t="n">
        <v>45975</v>
      </c>
      <c r="E35" s="1147" t="n">
        <v>45680</v>
      </c>
      <c r="F35" s="1139" t="n">
        <v>0.5333</v>
      </c>
      <c r="G35" s="1138" t="inlineStr">
        <is>
          <t>Completed</t>
        </is>
      </c>
      <c r="H35" s="1140" t="inlineStr">
        <is>
          <t>No</t>
        </is>
      </c>
      <c r="I35" s="1148" t="inlineStr">
        <is>
          <t>—</t>
        </is>
      </c>
      <c r="J35" s="1149" t="n">
        <v>0</v>
      </c>
    </row>
    <row r="36">
      <c r="A36" s="1134" t="n">
        <v>33</v>
      </c>
      <c r="B36" s="1135" t="inlineStr">
        <is>
          <t>Magreth Chilangaza</t>
        </is>
      </c>
      <c r="C36" s="1134" t="inlineStr">
        <is>
          <t>Tranche 3</t>
        </is>
      </c>
      <c r="D36" s="1147" t="n">
        <v>45975</v>
      </c>
      <c r="E36" s="1147" t="n">
        <v>45680</v>
      </c>
      <c r="F36" s="1139" t="n">
        <v>0.6667</v>
      </c>
      <c r="G36" s="1142" t="inlineStr">
        <is>
          <t>Still busy</t>
        </is>
      </c>
      <c r="H36" s="1140" t="inlineStr">
        <is>
          <t>No</t>
        </is>
      </c>
      <c r="I36" s="1148" t="inlineStr">
        <is>
          <t>—</t>
        </is>
      </c>
      <c r="J36" s="1149" t="n">
        <v>0</v>
      </c>
    </row>
    <row r="37">
      <c r="A37" s="1134" t="n">
        <v>34</v>
      </c>
      <c r="B37" s="1135" t="inlineStr">
        <is>
          <t>Mevis Chikomo</t>
        </is>
      </c>
      <c r="C37" s="1134" t="inlineStr">
        <is>
          <t>Tranche 3</t>
        </is>
      </c>
      <c r="D37" s="1147" t="n">
        <v>45975</v>
      </c>
      <c r="E37" s="1147" t="n">
        <v>45680</v>
      </c>
      <c r="F37" s="1137" t="n">
        <v>0.8283</v>
      </c>
      <c r="G37" s="1138" t="inlineStr">
        <is>
          <t>Completed</t>
        </is>
      </c>
      <c r="H37" s="1138" t="inlineStr">
        <is>
          <t>Completed 288 Hours</t>
        </is>
      </c>
      <c r="I37" s="1148" t="inlineStr">
        <is>
          <t>—</t>
        </is>
      </c>
      <c r="J37" s="1149" t="n">
        <v>0</v>
      </c>
    </row>
    <row r="38">
      <c r="A38" s="1134" t="n">
        <v>35</v>
      </c>
      <c r="B38" s="1135" t="inlineStr">
        <is>
          <t>Monalisa Layi</t>
        </is>
      </c>
      <c r="C38" s="1134" t="inlineStr">
        <is>
          <t>Tranche 3</t>
        </is>
      </c>
      <c r="D38" s="1147" t="n">
        <v>45975</v>
      </c>
      <c r="E38" s="1147" t="n">
        <v>45680</v>
      </c>
      <c r="F38" s="1137" t="n">
        <v>0.8317</v>
      </c>
      <c r="G38" s="1138" t="inlineStr">
        <is>
          <t>Completed</t>
        </is>
      </c>
      <c r="H38" s="1138" t="inlineStr">
        <is>
          <t>Completed 288 Hours</t>
        </is>
      </c>
      <c r="I38" s="1148" t="inlineStr">
        <is>
          <t>—</t>
        </is>
      </c>
      <c r="J38" s="1149" t="n">
        <v>0</v>
      </c>
    </row>
    <row r="39">
      <c r="A39" s="1134" t="n">
        <v>36</v>
      </c>
      <c r="B39" s="1135" t="inlineStr">
        <is>
          <t>Patience Mukutyu</t>
        </is>
      </c>
      <c r="C39" s="1134" t="inlineStr">
        <is>
          <t>Tranche 3</t>
        </is>
      </c>
      <c r="D39" s="1147" t="n">
        <v>45975</v>
      </c>
      <c r="E39" s="1147" t="n">
        <v>45680</v>
      </c>
      <c r="F39" s="1137" t="n">
        <v>0.9283</v>
      </c>
      <c r="G39" s="1138" t="inlineStr">
        <is>
          <t>Completed</t>
        </is>
      </c>
      <c r="H39" s="1138" t="inlineStr">
        <is>
          <t>Completed 288 Hours</t>
        </is>
      </c>
      <c r="I39" s="1148" t="inlineStr">
        <is>
          <t>—</t>
        </is>
      </c>
      <c r="J39" s="1149" t="n">
        <v>0</v>
      </c>
    </row>
    <row r="40">
      <c r="A40" s="1134" t="n">
        <v>37</v>
      </c>
      <c r="B40" s="1135" t="inlineStr">
        <is>
          <t>Sebina Zwane</t>
        </is>
      </c>
      <c r="C40" s="1134" t="inlineStr">
        <is>
          <t>Tranche 3</t>
        </is>
      </c>
      <c r="D40" s="1147" t="n">
        <v>45975</v>
      </c>
      <c r="E40" s="1147" t="n">
        <v>45680</v>
      </c>
      <c r="F40" s="1141" t="n">
        <v>0.2617</v>
      </c>
      <c r="G40" s="1138" t="inlineStr">
        <is>
          <t>Completed</t>
        </is>
      </c>
      <c r="H40" s="1138" t="inlineStr">
        <is>
          <t>Completed 288 Hours</t>
        </is>
      </c>
      <c r="I40" s="1148" t="inlineStr">
        <is>
          <t>—</t>
        </is>
      </c>
      <c r="J40" s="1149" t="n">
        <v>0</v>
      </c>
    </row>
    <row r="41">
      <c r="A41" s="1134" t="n">
        <v>38</v>
      </c>
      <c r="B41" s="1135" t="inlineStr">
        <is>
          <t>Stephinah Khuduhane Manyala</t>
        </is>
      </c>
      <c r="C41" s="1134" t="inlineStr">
        <is>
          <t>Tranche 3</t>
        </is>
      </c>
      <c r="D41" s="1147" t="n">
        <v>45975</v>
      </c>
      <c r="E41" s="1147" t="n">
        <v>45680</v>
      </c>
      <c r="F41" s="1137" t="n">
        <v>0.75</v>
      </c>
      <c r="G41" s="1142" t="inlineStr">
        <is>
          <t>Still busy</t>
        </is>
      </c>
      <c r="H41" s="1140" t="inlineStr">
        <is>
          <t>No</t>
        </is>
      </c>
      <c r="I41" s="1148" t="inlineStr">
        <is>
          <t>—</t>
        </is>
      </c>
      <c r="J41" s="1149" t="n">
        <v>0</v>
      </c>
    </row>
    <row r="42">
      <c r="A42" s="1134" t="n">
        <v>39</v>
      </c>
      <c r="B42" s="1135" t="inlineStr">
        <is>
          <t>Susan Menya Odipo</t>
        </is>
      </c>
      <c r="C42" s="1134" t="inlineStr">
        <is>
          <t>Tranche 3</t>
        </is>
      </c>
      <c r="D42" s="1147" t="n">
        <v>45975</v>
      </c>
      <c r="E42" s="1147" t="n">
        <v>45680</v>
      </c>
      <c r="F42" s="1137" t="n">
        <v>0.898</v>
      </c>
      <c r="G42" s="1138" t="inlineStr">
        <is>
          <t>Completed</t>
        </is>
      </c>
      <c r="H42" s="1140" t="inlineStr">
        <is>
          <t>No</t>
        </is>
      </c>
      <c r="I42" s="1148" t="inlineStr">
        <is>
          <t>—</t>
        </is>
      </c>
      <c r="J42" s="1149" t="n">
        <v>0</v>
      </c>
    </row>
    <row r="43">
      <c r="A43" s="1134" t="n">
        <v>40</v>
      </c>
      <c r="B43" s="1135" t="inlineStr">
        <is>
          <t>Thobile Queen Mlilo</t>
        </is>
      </c>
      <c r="C43" s="1134" t="inlineStr">
        <is>
          <t>Tranche 3</t>
        </is>
      </c>
      <c r="D43" s="1147" t="n">
        <v>45975</v>
      </c>
      <c r="E43" s="1147" t="n">
        <v>45680</v>
      </c>
      <c r="F43" s="1137" t="n">
        <v>0.86</v>
      </c>
      <c r="G43" s="1138" t="inlineStr">
        <is>
          <t>Completed</t>
        </is>
      </c>
      <c r="H43" s="1140" t="inlineStr">
        <is>
          <t>No</t>
        </is>
      </c>
      <c r="I43" s="1148" t="inlineStr">
        <is>
          <t>—</t>
        </is>
      </c>
      <c r="J43" s="1149" t="n">
        <v>0</v>
      </c>
    </row>
    <row r="44">
      <c r="A44" s="1134" t="n">
        <v>41</v>
      </c>
      <c r="B44" s="1135" t="inlineStr">
        <is>
          <t>Vuyolwethu Vivian Dyantyi</t>
        </is>
      </c>
      <c r="C44" s="1134" t="inlineStr">
        <is>
          <t>Tranche 3</t>
        </is>
      </c>
      <c r="D44" s="1147" t="n">
        <v>45975</v>
      </c>
      <c r="E44" s="1147" t="n">
        <v>45680</v>
      </c>
      <c r="F44" s="1137" t="n">
        <v>0.7017</v>
      </c>
      <c r="G44" s="1138" t="inlineStr">
        <is>
          <t>Completed</t>
        </is>
      </c>
      <c r="H44" s="1140" t="inlineStr">
        <is>
          <t>No</t>
        </is>
      </c>
      <c r="I44" s="1148" t="inlineStr">
        <is>
          <t>—</t>
        </is>
      </c>
      <c r="J44" s="1149" t="n">
        <v>0</v>
      </c>
    </row>
    <row r="45">
      <c r="A45" s="1134" t="n">
        <v>42</v>
      </c>
      <c r="B45" s="1135" t="inlineStr">
        <is>
          <t>Yvonne Kuseni</t>
        </is>
      </c>
      <c r="C45" s="1134" t="inlineStr">
        <is>
          <t>Tranche 3</t>
        </is>
      </c>
      <c r="D45" s="1147" t="n">
        <v>45975</v>
      </c>
      <c r="E45" s="1147" t="n">
        <v>45680</v>
      </c>
      <c r="F45" s="1137" t="n">
        <v>0.8483000000000001</v>
      </c>
      <c r="G45" s="1142" t="inlineStr">
        <is>
          <t>Still busy</t>
        </is>
      </c>
      <c r="H45" s="1140" t="inlineStr">
        <is>
          <t>No</t>
        </is>
      </c>
      <c r="I45" s="1148" t="inlineStr">
        <is>
          <t>—</t>
        </is>
      </c>
      <c r="J45" s="1149" t="n">
        <v>0</v>
      </c>
    </row>
    <row r="46">
      <c r="A46" s="1134" t="n">
        <v>43</v>
      </c>
      <c r="B46" s="1135" t="inlineStr">
        <is>
          <t>Yvvonette Nziane</t>
        </is>
      </c>
      <c r="C46" s="1134" t="inlineStr">
        <is>
          <t>Tranche 3</t>
        </is>
      </c>
      <c r="D46" s="1147" t="n">
        <v>45975</v>
      </c>
      <c r="E46" s="1147" t="n">
        <v>45680</v>
      </c>
      <c r="F46" s="1137" t="n">
        <v>0.8083</v>
      </c>
      <c r="G46" s="1140" t="inlineStr">
        <is>
          <t>Recolated</t>
        </is>
      </c>
      <c r="H46" s="1140" t="inlineStr">
        <is>
          <t>No</t>
        </is>
      </c>
      <c r="I46" s="1148" t="inlineStr">
        <is>
          <t>—</t>
        </is>
      </c>
      <c r="J46" s="1149" t="n">
        <v>0</v>
      </c>
    </row>
    <row r="47">
      <c r="A47" s="1134" t="n">
        <v>44</v>
      </c>
      <c r="B47" s="1135" t="inlineStr">
        <is>
          <t>Busisiwe Mandiyanike</t>
        </is>
      </c>
      <c r="C47" s="1134" t="inlineStr">
        <is>
          <t>Tranche 4</t>
        </is>
      </c>
      <c r="D47" s="1147" t="n">
        <v>46358</v>
      </c>
      <c r="E47" s="1147" t="n">
        <v>46063</v>
      </c>
      <c r="F47" s="1137" t="n">
        <v>0.9143</v>
      </c>
      <c r="G47" s="1142" t="inlineStr">
        <is>
          <t>Still busy</t>
        </is>
      </c>
      <c r="H47" s="1140" t="inlineStr">
        <is>
          <t>No</t>
        </is>
      </c>
      <c r="I47" s="1135" t="inlineStr">
        <is>
          <t>Busisiwe Mandiyanike</t>
        </is>
      </c>
      <c r="J47" s="1150" t="n">
        <v>3500</v>
      </c>
    </row>
    <row r="48">
      <c r="A48" s="1134" t="n">
        <v>45</v>
      </c>
      <c r="B48" s="1135" t="inlineStr">
        <is>
          <t>Colin Khutso Nyalungu</t>
        </is>
      </c>
      <c r="C48" s="1134" t="inlineStr">
        <is>
          <t>Tranche 4</t>
        </is>
      </c>
      <c r="D48" s="1147" t="n">
        <v>46358</v>
      </c>
      <c r="E48" s="1147" t="n">
        <v>46063</v>
      </c>
      <c r="F48" s="1137" t="n">
        <v>0.886</v>
      </c>
      <c r="G48" s="1138" t="inlineStr">
        <is>
          <t>Completed</t>
        </is>
      </c>
      <c r="H48" s="1138" t="inlineStr">
        <is>
          <t>Completed 288 Hours</t>
        </is>
      </c>
      <c r="I48" s="1148" t="inlineStr">
        <is>
          <t>—</t>
        </is>
      </c>
      <c r="J48" s="1149" t="n">
        <v>0</v>
      </c>
    </row>
    <row r="49">
      <c r="A49" s="1134" t="n">
        <v>46</v>
      </c>
      <c r="B49" s="1135" t="inlineStr">
        <is>
          <t>Dikeledi Eunice Musana</t>
        </is>
      </c>
      <c r="C49" s="1134" t="inlineStr">
        <is>
          <t>Tranche 4</t>
        </is>
      </c>
      <c r="D49" s="1147" t="n">
        <v>46358</v>
      </c>
      <c r="E49" s="1147" t="n">
        <v>46063</v>
      </c>
      <c r="F49" s="1139" t="n">
        <v>0.5233</v>
      </c>
      <c r="G49" s="1142" t="inlineStr">
        <is>
          <t>Still busy</t>
        </is>
      </c>
      <c r="H49" s="1140" t="inlineStr">
        <is>
          <t>No</t>
        </is>
      </c>
      <c r="I49" s="1135" t="inlineStr">
        <is>
          <t>Emilia Masvosva</t>
        </is>
      </c>
      <c r="J49" s="1150" t="n">
        <v>4350</v>
      </c>
    </row>
    <row r="50">
      <c r="A50" s="1134" t="n">
        <v>47</v>
      </c>
      <c r="B50" s="1135" t="inlineStr">
        <is>
          <t>Emilia Masvosva</t>
        </is>
      </c>
      <c r="C50" s="1134" t="inlineStr">
        <is>
          <t>Tranche 4</t>
        </is>
      </c>
      <c r="D50" s="1147" t="n">
        <v>46358</v>
      </c>
      <c r="E50" s="1147" t="n">
        <v>46063</v>
      </c>
      <c r="F50" s="1139" t="n">
        <v>0.578</v>
      </c>
      <c r="G50" s="1138" t="inlineStr">
        <is>
          <t>Completed</t>
        </is>
      </c>
      <c r="H50" s="1138" t="inlineStr">
        <is>
          <t>Completed 288 Hours</t>
        </is>
      </c>
      <c r="I50" s="1148" t="inlineStr">
        <is>
          <t>—</t>
        </is>
      </c>
      <c r="J50" s="1149" t="n">
        <v>0</v>
      </c>
    </row>
    <row r="51">
      <c r="A51" s="1134" t="n">
        <v>48</v>
      </c>
      <c r="B51" s="1135" t="inlineStr">
        <is>
          <t>Hloniphani Moyo</t>
        </is>
      </c>
      <c r="C51" s="1134" t="inlineStr">
        <is>
          <t>Tranche 4</t>
        </is>
      </c>
      <c r="D51" s="1147" t="n">
        <v>46358</v>
      </c>
      <c r="E51" s="1147" t="n">
        <v>46063</v>
      </c>
      <c r="F51" s="1137" t="n">
        <v>0.8215</v>
      </c>
      <c r="G51" s="1142" t="inlineStr">
        <is>
          <t>Still busy</t>
        </is>
      </c>
      <c r="H51" s="1140" t="inlineStr">
        <is>
          <t>No</t>
        </is>
      </c>
      <c r="I51" s="1148" t="inlineStr">
        <is>
          <t>—</t>
        </is>
      </c>
      <c r="J51" s="1149" t="n">
        <v>0</v>
      </c>
    </row>
    <row r="52">
      <c r="A52" s="1134" t="n">
        <v>49</v>
      </c>
      <c r="B52" s="1135" t="inlineStr">
        <is>
          <t>Mariam Joan Agunloye</t>
        </is>
      </c>
      <c r="C52" s="1134" t="inlineStr">
        <is>
          <t>Tranche 4</t>
        </is>
      </c>
      <c r="D52" s="1147" t="n">
        <v>46358</v>
      </c>
      <c r="E52" s="1147" t="n">
        <v>46063</v>
      </c>
      <c r="F52" s="1139" t="n">
        <v>0.6117</v>
      </c>
      <c r="G52" s="1138" t="inlineStr">
        <is>
          <t>Completed</t>
        </is>
      </c>
      <c r="H52" s="1138" t="inlineStr">
        <is>
          <t>Completed 288 Hours</t>
        </is>
      </c>
      <c r="I52" s="1151" t="inlineStr">
        <is>
          <t>Julia Ramoroka</t>
        </is>
      </c>
      <c r="J52" s="1150" t="n">
        <v>7600</v>
      </c>
    </row>
    <row r="53">
      <c r="A53" s="1134" t="n">
        <v>50</v>
      </c>
      <c r="B53" s="1135" t="inlineStr">
        <is>
          <t>Marion Goeda</t>
        </is>
      </c>
      <c r="C53" s="1134" t="inlineStr">
        <is>
          <t>Tranche 4</t>
        </is>
      </c>
      <c r="D53" s="1147" t="n">
        <v>46358</v>
      </c>
      <c r="E53" s="1147" t="n">
        <v>46063</v>
      </c>
      <c r="F53" s="1137" t="n">
        <v>0.8573</v>
      </c>
      <c r="G53" s="1138" t="inlineStr">
        <is>
          <t>Completed</t>
        </is>
      </c>
      <c r="H53" s="1138" t="inlineStr">
        <is>
          <t>Completed 288 Hours</t>
        </is>
      </c>
      <c r="I53" s="1151" t="inlineStr">
        <is>
          <t>Nhlakanipho (Nipho) Tshabalala</t>
        </is>
      </c>
      <c r="J53" s="1150" t="n">
        <v>17900</v>
      </c>
    </row>
    <row r="54">
      <c r="A54" s="1134" t="n">
        <v>51</v>
      </c>
      <c r="B54" s="1135" t="inlineStr">
        <is>
          <t>Mokgadi Martha Mahlahlane</t>
        </is>
      </c>
      <c r="C54" s="1134" t="inlineStr">
        <is>
          <t>Tranche 4</t>
        </is>
      </c>
      <c r="D54" s="1147" t="n">
        <v>46358</v>
      </c>
      <c r="E54" s="1147" t="n">
        <v>46063</v>
      </c>
      <c r="F54" s="1139" t="n">
        <v>0.645</v>
      </c>
      <c r="G54" s="1138" t="inlineStr">
        <is>
          <t>Completed</t>
        </is>
      </c>
      <c r="H54" s="1138" t="inlineStr">
        <is>
          <t>Completed 288 Hours</t>
        </is>
      </c>
      <c r="I54" s="1151" t="inlineStr">
        <is>
          <t>Rebecca Samba</t>
        </is>
      </c>
      <c r="J54" s="1150" t="n">
        <v>150</v>
      </c>
    </row>
    <row r="55">
      <c r="A55" s="1134" t="n">
        <v>52</v>
      </c>
      <c r="B55" s="1135" t="inlineStr">
        <is>
          <t>Nare Julia Ramorka</t>
        </is>
      </c>
      <c r="C55" s="1134" t="inlineStr">
        <is>
          <t>Tranche 4</t>
        </is>
      </c>
      <c r="D55" s="1147" t="n">
        <v>46358</v>
      </c>
      <c r="E55" s="1147" t="n">
        <v>46063</v>
      </c>
      <c r="F55" s="1139" t="n">
        <v>0.6883</v>
      </c>
      <c r="G55" s="1138" t="inlineStr">
        <is>
          <t>Completed</t>
        </is>
      </c>
      <c r="H55" s="1138" t="inlineStr">
        <is>
          <t>Completed 288 Hours</t>
        </is>
      </c>
      <c r="I55" s="1135" t="inlineStr">
        <is>
          <t>Sara Mdaka</t>
        </is>
      </c>
      <c r="J55" s="1150" t="n">
        <v>5100</v>
      </c>
    </row>
    <row r="56">
      <c r="A56" s="1134" t="n">
        <v>53</v>
      </c>
      <c r="B56" s="1135" t="inlineStr">
        <is>
          <t>Nhlakanipho Casey Tshabalala</t>
        </is>
      </c>
      <c r="C56" s="1134" t="inlineStr">
        <is>
          <t>Tranche 4</t>
        </is>
      </c>
      <c r="D56" s="1147" t="n">
        <v>46358</v>
      </c>
      <c r="E56" s="1147" t="n">
        <v>46063</v>
      </c>
      <c r="F56" s="1137" t="n">
        <v>0.7125</v>
      </c>
      <c r="G56" s="1142" t="inlineStr">
        <is>
          <t>Still busy</t>
        </is>
      </c>
      <c r="H56" s="1140" t="inlineStr">
        <is>
          <t>No</t>
        </is>
      </c>
      <c r="I56" s="1148" t="inlineStr">
        <is>
          <t>—</t>
        </is>
      </c>
      <c r="J56" s="1149" t="n">
        <v>0</v>
      </c>
    </row>
    <row r="57">
      <c r="A57" s="1134" t="n">
        <v>54</v>
      </c>
      <c r="B57" s="1135" t="inlineStr">
        <is>
          <t>Prisca Wachkwa</t>
        </is>
      </c>
      <c r="C57" s="1134" t="inlineStr">
        <is>
          <t>Tranche 4</t>
        </is>
      </c>
      <c r="D57" s="1147" t="n">
        <v>46358</v>
      </c>
      <c r="E57" s="1147" t="n">
        <v>46063</v>
      </c>
      <c r="F57" s="1137" t="n">
        <v>0.9127</v>
      </c>
      <c r="G57" s="1138" t="inlineStr">
        <is>
          <t>Completed</t>
        </is>
      </c>
      <c r="H57" s="1138" t="inlineStr">
        <is>
          <t>Completed 288 Hours</t>
        </is>
      </c>
      <c r="I57" s="1148" t="inlineStr">
        <is>
          <t>—</t>
        </is>
      </c>
      <c r="J57" s="1149" t="n">
        <v>0</v>
      </c>
    </row>
    <row r="58">
      <c r="A58" s="1134" t="n">
        <v>55</v>
      </c>
      <c r="B58" s="1135" t="inlineStr">
        <is>
          <t>Rebecca Shibambu</t>
        </is>
      </c>
      <c r="C58" s="1134" t="inlineStr">
        <is>
          <t>Tranche 4</t>
        </is>
      </c>
      <c r="D58" s="1147" t="n">
        <v>46358</v>
      </c>
      <c r="E58" s="1147" t="n">
        <v>46063</v>
      </c>
      <c r="F58" s="1137" t="n">
        <v>0.7367</v>
      </c>
      <c r="G58" s="1142" t="inlineStr">
        <is>
          <t>Still busy</t>
        </is>
      </c>
      <c r="H58" s="1140" t="inlineStr">
        <is>
          <t>No</t>
        </is>
      </c>
      <c r="I58" s="1135" t="inlineStr">
        <is>
          <t>Marion Goeda</t>
        </is>
      </c>
      <c r="J58" s="1150" t="n">
        <v>30691</v>
      </c>
    </row>
    <row r="59">
      <c r="A59" s="1134" t="n">
        <v>56</v>
      </c>
      <c r="B59" s="1135" t="inlineStr">
        <is>
          <t>Sara Mdaka</t>
        </is>
      </c>
      <c r="C59" s="1134" t="inlineStr">
        <is>
          <t>Tranche 4</t>
        </is>
      </c>
      <c r="D59" s="1147" t="n">
        <v>46358</v>
      </c>
      <c r="E59" s="1147" t="n">
        <v>46063</v>
      </c>
      <c r="F59" s="1137" t="n">
        <v>0.764</v>
      </c>
      <c r="G59" s="1142" t="inlineStr">
        <is>
          <t>Still busy</t>
        </is>
      </c>
      <c r="H59" s="1140" t="inlineStr">
        <is>
          <t>No</t>
        </is>
      </c>
      <c r="I59" s="1148" t="inlineStr">
        <is>
          <t>—</t>
        </is>
      </c>
      <c r="J59" s="1149" t="n">
        <v>0</v>
      </c>
    </row>
    <row r="60">
      <c r="A60" s="1134" t="n">
        <v>57</v>
      </c>
      <c r="B60" s="1135" t="inlineStr">
        <is>
          <t>Zanele Princess Maphalala</t>
        </is>
      </c>
      <c r="C60" s="1134" t="inlineStr">
        <is>
          <t>Tranche 4</t>
        </is>
      </c>
      <c r="D60" s="1147" t="n">
        <v>46358</v>
      </c>
      <c r="E60" s="1147" t="n">
        <v>46063</v>
      </c>
      <c r="F60" s="1137" t="n">
        <v>0.7992</v>
      </c>
      <c r="G60" s="1142" t="inlineStr">
        <is>
          <t>Still busy</t>
        </is>
      </c>
      <c r="H60" s="1140" t="inlineStr">
        <is>
          <t>No</t>
        </is>
      </c>
      <c r="I60" s="1148" t="inlineStr">
        <is>
          <t>—</t>
        </is>
      </c>
      <c r="J60" s="1149" t="n">
        <v>0</v>
      </c>
    </row>
    <row r="61">
      <c r="A61" s="1134" t="n">
        <v>58</v>
      </c>
      <c r="B61" s="1135" t="inlineStr">
        <is>
          <t>Annie Mabuto</t>
        </is>
      </c>
      <c r="C61" s="1134" t="inlineStr">
        <is>
          <t>Tranche 5</t>
        </is>
      </c>
      <c r="D61" s="1147" t="n">
        <v>46034</v>
      </c>
      <c r="E61" s="1147" t="n">
        <v>46097</v>
      </c>
      <c r="F61" s="1137" t="n">
        <v>0.9409999999999999</v>
      </c>
      <c r="G61" s="1142" t="inlineStr">
        <is>
          <t>Still busy</t>
        </is>
      </c>
      <c r="H61" s="1140" t="inlineStr">
        <is>
          <t>No</t>
        </is>
      </c>
      <c r="I61" s="1135" t="inlineStr">
        <is>
          <t>Annie Mabuto</t>
        </is>
      </c>
      <c r="J61" s="1150" t="n">
        <v>2650</v>
      </c>
    </row>
    <row r="62">
      <c r="A62" s="1134" t="n">
        <v>59</v>
      </c>
      <c r="B62" s="1135" t="inlineStr">
        <is>
          <t>Beauty Mantwe Masopye</t>
        </is>
      </c>
      <c r="C62" s="1134" t="inlineStr">
        <is>
          <t>Tranche 5</t>
        </is>
      </c>
      <c r="D62" s="1147" t="n">
        <v>46034</v>
      </c>
      <c r="E62" s="1147" t="n">
        <v>46097</v>
      </c>
      <c r="F62" s="1137" t="n">
        <v>0.7425</v>
      </c>
      <c r="G62" s="1142" t="inlineStr">
        <is>
          <t>Still busy</t>
        </is>
      </c>
      <c r="H62" s="1140" t="inlineStr">
        <is>
          <t>No</t>
        </is>
      </c>
      <c r="I62" s="1148" t="inlineStr">
        <is>
          <t>—</t>
        </is>
      </c>
      <c r="J62" s="1149" t="n">
        <v>0</v>
      </c>
    </row>
    <row r="63">
      <c r="A63" s="1134" t="n">
        <v>60</v>
      </c>
      <c r="B63" s="1135" t="inlineStr">
        <is>
          <t>Beverly Lehabe</t>
        </is>
      </c>
      <c r="C63" s="1134" t="inlineStr">
        <is>
          <t>Tranche 5</t>
        </is>
      </c>
      <c r="D63" s="1147" t="n">
        <v>46034</v>
      </c>
      <c r="E63" s="1147" t="n">
        <v>46097</v>
      </c>
      <c r="F63" s="1141" t="n">
        <v>0.24</v>
      </c>
      <c r="G63" s="1140" t="inlineStr">
        <is>
          <t>Not started</t>
        </is>
      </c>
      <c r="H63" s="1140" t="inlineStr">
        <is>
          <t>No</t>
        </is>
      </c>
      <c r="I63" s="1148" t="inlineStr">
        <is>
          <t>—</t>
        </is>
      </c>
      <c r="J63" s="1149" t="n">
        <v>0</v>
      </c>
    </row>
    <row r="64">
      <c r="A64" s="1134" t="n">
        <v>61</v>
      </c>
      <c r="B64" s="1135" t="inlineStr">
        <is>
          <t>Busisiwe Marcia Ntuli</t>
        </is>
      </c>
      <c r="C64" s="1134" t="inlineStr">
        <is>
          <t>Tranche 5</t>
        </is>
      </c>
      <c r="D64" s="1147" t="n">
        <v>46034</v>
      </c>
      <c r="E64" s="1147" t="n">
        <v>46097</v>
      </c>
      <c r="F64" s="1137" t="n">
        <v>0.776</v>
      </c>
      <c r="G64" s="1140" t="inlineStr">
        <is>
          <t>Not started</t>
        </is>
      </c>
      <c r="H64" s="1140" t="inlineStr">
        <is>
          <t>No</t>
        </is>
      </c>
      <c r="I64" s="1148" t="inlineStr">
        <is>
          <t>—</t>
        </is>
      </c>
      <c r="J64" s="1149" t="n">
        <v>0</v>
      </c>
    </row>
    <row r="65">
      <c r="A65" s="1134" t="n">
        <v>62</v>
      </c>
      <c r="B65" s="1135" t="inlineStr">
        <is>
          <t>Dibakazi Gwiji</t>
        </is>
      </c>
      <c r="C65" s="1134" t="inlineStr">
        <is>
          <t>Tranche 5</t>
        </is>
      </c>
      <c r="D65" s="1147" t="n">
        <v>46034</v>
      </c>
      <c r="E65" s="1147" t="n">
        <v>46097</v>
      </c>
      <c r="F65" s="1137" t="n">
        <v>0.8133</v>
      </c>
      <c r="G65" s="1140" t="inlineStr">
        <is>
          <t>Not started</t>
        </is>
      </c>
      <c r="H65" s="1140" t="inlineStr">
        <is>
          <t>No</t>
        </is>
      </c>
      <c r="I65" s="1135" t="inlineStr">
        <is>
          <t>Lina Raphahlela</t>
        </is>
      </c>
      <c r="J65" s="1150" t="n">
        <v>3600</v>
      </c>
    </row>
    <row r="66">
      <c r="A66" s="1134" t="n">
        <v>63</v>
      </c>
      <c r="B66" s="1135" t="inlineStr">
        <is>
          <t>Esther Kawanzaruwa</t>
        </is>
      </c>
      <c r="C66" s="1134" t="inlineStr">
        <is>
          <t>Tranche 5</t>
        </is>
      </c>
      <c r="D66" s="1147" t="n">
        <v>46034</v>
      </c>
      <c r="E66" s="1147" t="n">
        <v>46097</v>
      </c>
      <c r="F66" s="1137" t="n">
        <v>0.8625</v>
      </c>
      <c r="G66" s="1140" t="inlineStr">
        <is>
          <t>Not started</t>
        </is>
      </c>
      <c r="H66" s="1140" t="inlineStr">
        <is>
          <t>No</t>
        </is>
      </c>
      <c r="I66" s="1135" t="inlineStr">
        <is>
          <t>Matshidiso Leah Aphane</t>
        </is>
      </c>
      <c r="J66" s="1150" t="n">
        <v>15400</v>
      </c>
    </row>
    <row r="67">
      <c r="A67" s="1134" t="n">
        <v>64</v>
      </c>
      <c r="B67" s="1135" t="inlineStr">
        <is>
          <t>Gcinokwakhe Mondli Collen Ndlovu</t>
        </is>
      </c>
      <c r="C67" s="1134" t="inlineStr">
        <is>
          <t>Tranche 5</t>
        </is>
      </c>
      <c r="D67" s="1147" t="n">
        <v>46034</v>
      </c>
      <c r="E67" s="1147" t="n">
        <v>46097</v>
      </c>
      <c r="F67" s="1137" t="n">
        <v>0.839</v>
      </c>
      <c r="G67" s="1140" t="inlineStr">
        <is>
          <t>Not started</t>
        </is>
      </c>
      <c r="H67" s="1140" t="inlineStr">
        <is>
          <t>No</t>
        </is>
      </c>
      <c r="I67" s="1148" t="inlineStr">
        <is>
          <t>—</t>
        </is>
      </c>
      <c r="J67" s="1149" t="n">
        <v>0</v>
      </c>
    </row>
    <row r="68">
      <c r="A68" s="1134" t="n">
        <v>65</v>
      </c>
      <c r="B68" s="1135" t="inlineStr">
        <is>
          <t>Koketso Mmathapelo Aphane</t>
        </is>
      </c>
      <c r="C68" s="1134" t="inlineStr">
        <is>
          <t>Tranche 5</t>
        </is>
      </c>
      <c r="D68" s="1147" t="n">
        <v>46034</v>
      </c>
      <c r="E68" s="1147" t="n">
        <v>46097</v>
      </c>
      <c r="F68" s="1141" t="n">
        <v>0.31</v>
      </c>
      <c r="G68" s="1140" t="inlineStr">
        <is>
          <t>Not started</t>
        </is>
      </c>
      <c r="H68" s="1140" t="inlineStr">
        <is>
          <t>No</t>
        </is>
      </c>
      <c r="I68" s="1148" t="inlineStr">
        <is>
          <t>—</t>
        </is>
      </c>
      <c r="J68" s="1149" t="n">
        <v>0</v>
      </c>
    </row>
    <row r="69">
      <c r="A69" s="1134" t="n">
        <v>66</v>
      </c>
      <c r="B69" s="1135" t="inlineStr">
        <is>
          <t>Lina Raphahlela</t>
        </is>
      </c>
      <c r="C69" s="1134" t="inlineStr">
        <is>
          <t>Tranche 5</t>
        </is>
      </c>
      <c r="D69" s="1147" t="n">
        <v>46034</v>
      </c>
      <c r="E69" s="1147" t="n">
        <v>46097</v>
      </c>
      <c r="F69" s="1139" t="n">
        <v>0.5467</v>
      </c>
      <c r="G69" s="1140" t="inlineStr">
        <is>
          <t>Not started</t>
        </is>
      </c>
      <c r="H69" s="1140" t="inlineStr">
        <is>
          <t>No</t>
        </is>
      </c>
      <c r="I69" s="1148" t="inlineStr">
        <is>
          <t>—</t>
        </is>
      </c>
      <c r="J69" s="1149" t="n">
        <v>0</v>
      </c>
    </row>
    <row r="70">
      <c r="A70" s="1134" t="n">
        <v>67</v>
      </c>
      <c r="B70" s="1135" t="inlineStr">
        <is>
          <t>Matshidiso Leah Aphane</t>
        </is>
      </c>
      <c r="C70" s="1134" t="inlineStr">
        <is>
          <t>Tranche 5</t>
        </is>
      </c>
      <c r="D70" s="1147" t="n">
        <v>46034</v>
      </c>
      <c r="E70" s="1147" t="n">
        <v>46097</v>
      </c>
      <c r="F70" s="1139" t="n">
        <v>0.5933</v>
      </c>
      <c r="G70" s="1140" t="inlineStr">
        <is>
          <t>Not started</t>
        </is>
      </c>
      <c r="H70" s="1140" t="inlineStr">
        <is>
          <t>No</t>
        </is>
      </c>
      <c r="I70" s="1148" t="inlineStr">
        <is>
          <t>—</t>
        </is>
      </c>
      <c r="J70" s="1149" t="n">
        <v>0</v>
      </c>
    </row>
    <row r="71">
      <c r="A71" s="1134" t="n">
        <v>68</v>
      </c>
      <c r="B71" s="1135" t="inlineStr">
        <is>
          <t>Musa Glenda Zulu</t>
        </is>
      </c>
      <c r="C71" s="1134" t="inlineStr">
        <is>
          <t>Tranche 5</t>
        </is>
      </c>
      <c r="D71" s="1147" t="n">
        <v>46034</v>
      </c>
      <c r="E71" s="1147" t="n">
        <v>46097</v>
      </c>
      <c r="F71" s="1139" t="n">
        <v>0.628</v>
      </c>
      <c r="G71" s="1142" t="inlineStr">
        <is>
          <t>Still busy</t>
        </is>
      </c>
      <c r="H71" s="1140" t="inlineStr">
        <is>
          <t>No</t>
        </is>
      </c>
      <c r="I71" s="1151" t="inlineStr">
        <is>
          <t>Beauty Masopye</t>
        </is>
      </c>
      <c r="J71" s="1150" t="n">
        <v>4900</v>
      </c>
    </row>
    <row r="72">
      <c r="A72" s="1134" t="n">
        <v>69</v>
      </c>
      <c r="B72" s="1135" t="inlineStr">
        <is>
          <t>Nurse Maphosa</t>
        </is>
      </c>
      <c r="C72" s="1134" t="inlineStr">
        <is>
          <t>Tranche 5</t>
        </is>
      </c>
      <c r="D72" s="1147" t="n">
        <v>46034</v>
      </c>
      <c r="E72" s="1147" t="n">
        <v>46097</v>
      </c>
      <c r="F72" s="1139" t="n">
        <v>0.6617</v>
      </c>
      <c r="G72" s="1142" t="inlineStr">
        <is>
          <t>Still busy</t>
        </is>
      </c>
      <c r="H72" s="1140" t="inlineStr">
        <is>
          <t>No</t>
        </is>
      </c>
      <c r="I72" s="1148" t="inlineStr">
        <is>
          <t>—</t>
        </is>
      </c>
      <c r="J72" s="1149" t="n">
        <v>0</v>
      </c>
    </row>
    <row r="73">
      <c r="A73" s="1134" t="n">
        <v>70</v>
      </c>
      <c r="B73" s="1135" t="inlineStr">
        <is>
          <t>Present Tema</t>
        </is>
      </c>
      <c r="C73" s="1134" t="inlineStr">
        <is>
          <t>Tranche 5</t>
        </is>
      </c>
      <c r="D73" s="1147" t="n">
        <v>46034</v>
      </c>
      <c r="E73" s="1147" t="n">
        <v>46097</v>
      </c>
      <c r="F73" s="1139" t="n">
        <v>0.695</v>
      </c>
      <c r="G73" s="1142" t="inlineStr">
        <is>
          <t>Still busy</t>
        </is>
      </c>
      <c r="H73" s="1140" t="inlineStr">
        <is>
          <t>No</t>
        </is>
      </c>
      <c r="I73" s="1148" t="inlineStr">
        <is>
          <t>—</t>
        </is>
      </c>
      <c r="J73" s="1149" t="n">
        <v>0</v>
      </c>
    </row>
    <row r="74">
      <c r="A74" s="1134" t="n">
        <v>71</v>
      </c>
      <c r="B74" s="1135" t="inlineStr">
        <is>
          <t>Siphathisiwe Nkala</t>
        </is>
      </c>
      <c r="C74" s="1134" t="inlineStr">
        <is>
          <t>Tranche 5</t>
        </is>
      </c>
      <c r="D74" s="1147" t="n">
        <v>46034</v>
      </c>
      <c r="E74" s="1147" t="n">
        <v>46097</v>
      </c>
      <c r="F74" s="1137" t="n">
        <v>0.7282999999999999</v>
      </c>
      <c r="G74" s="1142" t="inlineStr">
        <is>
          <t>Still busy</t>
        </is>
      </c>
      <c r="H74" s="1140" t="inlineStr">
        <is>
          <t>No</t>
        </is>
      </c>
      <c r="I74" s="1148" t="inlineStr">
        <is>
          <t>—</t>
        </is>
      </c>
      <c r="J74" s="1149" t="n">
        <v>0</v>
      </c>
    </row>
    <row r="75">
      <c r="A75" s="1134" t="n">
        <v>72</v>
      </c>
      <c r="B75" s="1135" t="inlineStr">
        <is>
          <t>Amina Mfinda Ndongala</t>
        </is>
      </c>
      <c r="C75" s="1134" t="inlineStr">
        <is>
          <t>Tranche 6</t>
        </is>
      </c>
      <c r="D75" s="1147" t="n">
        <v>46035</v>
      </c>
      <c r="E75" s="1147" t="n">
        <v>46098</v>
      </c>
      <c r="F75" s="1137" t="n">
        <v>0.921</v>
      </c>
      <c r="G75" s="1142" t="inlineStr">
        <is>
          <t>Still busy</t>
        </is>
      </c>
      <c r="H75" s="1140" t="inlineStr">
        <is>
          <t>No</t>
        </is>
      </c>
      <c r="I75" s="1148" t="inlineStr">
        <is>
          <t>—</t>
        </is>
      </c>
      <c r="J75" s="1149" t="n">
        <v>0</v>
      </c>
    </row>
    <row r="76">
      <c r="A76" s="1134" t="n">
        <v>73</v>
      </c>
      <c r="B76" s="1135" t="inlineStr">
        <is>
          <t>Bella Kobela Ramaphakela</t>
        </is>
      </c>
      <c r="C76" s="1134" t="inlineStr">
        <is>
          <t>Tranche 6</t>
        </is>
      </c>
      <c r="D76" s="1147" t="n">
        <v>46035</v>
      </c>
      <c r="E76" s="1147" t="n">
        <v>46098</v>
      </c>
      <c r="F76" s="1137" t="n">
        <v>0.7158</v>
      </c>
      <c r="G76" s="1140" t="inlineStr">
        <is>
          <t>Not started</t>
        </is>
      </c>
      <c r="H76" s="1140" t="inlineStr">
        <is>
          <t>No</t>
        </is>
      </c>
      <c r="I76" s="1148" t="inlineStr">
        <is>
          <t>—</t>
        </is>
      </c>
      <c r="J76" s="1149" t="n">
        <v>0</v>
      </c>
    </row>
    <row r="77">
      <c r="A77" s="1134" t="n">
        <v>74</v>
      </c>
      <c r="B77" s="1135" t="inlineStr">
        <is>
          <t>Christina Nomvula Mtshweni</t>
        </is>
      </c>
      <c r="C77" s="1134" t="inlineStr">
        <is>
          <t>Tranche 6</t>
        </is>
      </c>
      <c r="D77" s="1147" t="n">
        <v>46035</v>
      </c>
      <c r="E77" s="1147" t="n">
        <v>46098</v>
      </c>
      <c r="F77" s="1139" t="n">
        <v>0.5866</v>
      </c>
      <c r="G77" s="1140" t="inlineStr">
        <is>
          <t>Not started</t>
        </is>
      </c>
      <c r="H77" s="1140" t="inlineStr">
        <is>
          <t>No</t>
        </is>
      </c>
      <c r="I77" s="1148" t="inlineStr">
        <is>
          <t>—</t>
        </is>
      </c>
      <c r="J77" s="1149" t="n">
        <v>0</v>
      </c>
    </row>
    <row r="78">
      <c r="A78" s="1134" t="n">
        <v>75</v>
      </c>
      <c r="B78" s="1135" t="inlineStr">
        <is>
          <t>Danita Conradie</t>
        </is>
      </c>
      <c r="C78" s="1134" t="inlineStr">
        <is>
          <t>Tranche 6</t>
        </is>
      </c>
      <c r="D78" s="1147" t="n">
        <v>46035</v>
      </c>
      <c r="E78" s="1147" t="n">
        <v>46098</v>
      </c>
      <c r="F78" s="1139" t="n">
        <v>0.52</v>
      </c>
      <c r="G78" s="1140" t="inlineStr">
        <is>
          <t>Not started</t>
        </is>
      </c>
      <c r="H78" s="1140" t="inlineStr">
        <is>
          <t>No</t>
        </is>
      </c>
      <c r="I78" s="1148" t="inlineStr">
        <is>
          <t>—</t>
        </is>
      </c>
      <c r="J78" s="1149" t="n">
        <v>0</v>
      </c>
    </row>
    <row r="79">
      <c r="A79" s="1134" t="n">
        <v>76</v>
      </c>
      <c r="B79" s="1135" t="inlineStr">
        <is>
          <t>Hlamalani Division Ngobeni</t>
        </is>
      </c>
      <c r="C79" s="1134" t="inlineStr">
        <is>
          <t>Tranche 6</t>
        </is>
      </c>
      <c r="D79" s="1147" t="n">
        <v>46035</v>
      </c>
      <c r="E79" s="1147" t="n">
        <v>46098</v>
      </c>
      <c r="F79" s="1137" t="n">
        <v>0.879</v>
      </c>
      <c r="G79" s="1140" t="inlineStr">
        <is>
          <t>Not started</t>
        </is>
      </c>
      <c r="H79" s="1140" t="inlineStr">
        <is>
          <t>No</t>
        </is>
      </c>
      <c r="I79" s="1148" t="inlineStr">
        <is>
          <t>—</t>
        </is>
      </c>
      <c r="J79" s="1149" t="n">
        <v>0</v>
      </c>
    </row>
    <row r="80">
      <c r="A80" s="1134" t="n">
        <v>77</v>
      </c>
      <c r="B80" s="1135" t="inlineStr">
        <is>
          <t>Kgomotso Lufuno Matloa</t>
        </is>
      </c>
      <c r="C80" s="1134" t="inlineStr">
        <is>
          <t>Tranche 6</t>
        </is>
      </c>
      <c r="D80" s="1147" t="n">
        <v>46035</v>
      </c>
      <c r="E80" s="1147" t="n">
        <v>46098</v>
      </c>
      <c r="F80" s="1139" t="n">
        <v>0.6742</v>
      </c>
      <c r="G80" s="1140" t="inlineStr">
        <is>
          <t>Not started</t>
        </is>
      </c>
      <c r="H80" s="1140" t="inlineStr">
        <is>
          <t>No</t>
        </is>
      </c>
      <c r="I80" s="1148" t="inlineStr">
        <is>
          <t>—</t>
        </is>
      </c>
      <c r="J80" s="1149" t="n">
        <v>0</v>
      </c>
    </row>
    <row r="81">
      <c r="A81" s="1134" t="n">
        <v>78</v>
      </c>
      <c r="B81" s="1135" t="inlineStr">
        <is>
          <t>Memory Banda</t>
        </is>
      </c>
      <c r="C81" s="1134" t="inlineStr">
        <is>
          <t>Tranche 6</t>
        </is>
      </c>
      <c r="D81" s="1147" t="n">
        <v>46035</v>
      </c>
      <c r="E81" s="1147" t="n">
        <v>46098</v>
      </c>
      <c r="F81" s="1139" t="n">
        <v>0.5387999999999999</v>
      </c>
      <c r="G81" s="1140" t="inlineStr">
        <is>
          <t>Not started</t>
        </is>
      </c>
      <c r="H81" s="1140" t="inlineStr">
        <is>
          <t>No</t>
        </is>
      </c>
      <c r="I81" s="1148" t="inlineStr">
        <is>
          <t>—</t>
        </is>
      </c>
      <c r="J81" s="1149" t="n">
        <v>0</v>
      </c>
    </row>
    <row r="82">
      <c r="A82" s="1134" t="n">
        <v>79</v>
      </c>
      <c r="B82" s="1135" t="inlineStr">
        <is>
          <t>Molapateng Theora Rambau</t>
        </is>
      </c>
      <c r="C82" s="1134" t="inlineStr">
        <is>
          <t>Tranche 6</t>
        </is>
      </c>
      <c r="D82" s="1147" t="n">
        <v>46035</v>
      </c>
      <c r="E82" s="1147" t="n">
        <v>46098</v>
      </c>
      <c r="F82" s="1137" t="n">
        <v>0.7915</v>
      </c>
      <c r="G82" s="1140" t="inlineStr">
        <is>
          <t>Not started</t>
        </is>
      </c>
      <c r="H82" s="1140" t="inlineStr">
        <is>
          <t>No</t>
        </is>
      </c>
      <c r="I82" s="1148" t="inlineStr">
        <is>
          <t>—</t>
        </is>
      </c>
      <c r="J82" s="1149" t="n">
        <v>0</v>
      </c>
    </row>
    <row r="83">
      <c r="A83" s="1134" t="n">
        <v>80</v>
      </c>
      <c r="B83" s="1135" t="inlineStr">
        <is>
          <t>Oluwakemi Mary Ojomo</t>
        </is>
      </c>
      <c r="C83" s="1134" t="inlineStr">
        <is>
          <t>Tranche 6</t>
        </is>
      </c>
      <c r="D83" s="1147" t="n">
        <v>46035</v>
      </c>
      <c r="E83" s="1147" t="n">
        <v>46098</v>
      </c>
      <c r="F83" s="1139" t="n">
        <v>0.6534</v>
      </c>
      <c r="G83" s="1140" t="inlineStr">
        <is>
          <t>Not started</t>
        </is>
      </c>
      <c r="H83" s="1140" t="inlineStr">
        <is>
          <t>No</t>
        </is>
      </c>
      <c r="I83" s="1148" t="inlineStr">
        <is>
          <t>—</t>
        </is>
      </c>
      <c r="J83" s="1149" t="n">
        <v>0</v>
      </c>
    </row>
    <row r="84">
      <c r="A84" s="1134" t="n">
        <v>81</v>
      </c>
      <c r="B84" s="1135" t="inlineStr">
        <is>
          <t>Phemela Rachel Maluleke</t>
        </is>
      </c>
      <c r="C84" s="1134" t="inlineStr">
        <is>
          <t>Tranche 6</t>
        </is>
      </c>
      <c r="D84" s="1147" t="n">
        <v>46035</v>
      </c>
      <c r="E84" s="1147" t="n">
        <v>46098</v>
      </c>
      <c r="F84" s="1137" t="n">
        <v>0.846</v>
      </c>
      <c r="G84" s="1142" t="inlineStr">
        <is>
          <t>Still busy</t>
        </is>
      </c>
      <c r="H84" s="1140" t="inlineStr">
        <is>
          <t>No</t>
        </is>
      </c>
      <c r="I84" s="1148" t="inlineStr">
        <is>
          <t>—</t>
        </is>
      </c>
      <c r="J84" s="1149" t="n">
        <v>0</v>
      </c>
    </row>
    <row r="85">
      <c r="A85" s="1134" t="n">
        <v>82</v>
      </c>
      <c r="B85" s="1135" t="inlineStr">
        <is>
          <t>Pusheletso Mashego Mashabela</t>
        </is>
      </c>
      <c r="C85" s="1134" t="inlineStr">
        <is>
          <t>Tranche 6</t>
        </is>
      </c>
      <c r="D85" s="1147" t="n">
        <v>46035</v>
      </c>
      <c r="E85" s="1147" t="n">
        <v>46098</v>
      </c>
      <c r="F85" s="1139" t="n">
        <v>0.6273</v>
      </c>
      <c r="G85" s="1142" t="inlineStr">
        <is>
          <t>Still busy</t>
        </is>
      </c>
      <c r="H85" s="1140" t="inlineStr">
        <is>
          <t>No</t>
        </is>
      </c>
      <c r="I85" s="1148" t="inlineStr">
        <is>
          <t>—</t>
        </is>
      </c>
      <c r="J85" s="1149" t="n">
        <v>0</v>
      </c>
    </row>
    <row r="86">
      <c r="A86" s="1134" t="n">
        <v>83</v>
      </c>
      <c r="B86" s="1135" t="inlineStr">
        <is>
          <t>Queen Ramokone Sibanda</t>
        </is>
      </c>
      <c r="C86" s="1134" t="inlineStr">
        <is>
          <t>Tranche 6</t>
        </is>
      </c>
      <c r="D86" s="1147" t="n">
        <v>46035</v>
      </c>
      <c r="E86" s="1147" t="n">
        <v>46098</v>
      </c>
      <c r="F86" s="1134" t="n"/>
      <c r="G86" s="1140" t="inlineStr">
        <is>
          <t>Not started</t>
        </is>
      </c>
      <c r="H86" s="1140" t="inlineStr">
        <is>
          <t>No</t>
        </is>
      </c>
      <c r="I86" s="1148" t="inlineStr">
        <is>
          <t>—</t>
        </is>
      </c>
      <c r="J86" s="1149" t="n">
        <v>0</v>
      </c>
    </row>
    <row r="87">
      <c r="A87" s="1134" t="n">
        <v>84</v>
      </c>
      <c r="B87" s="1135" t="inlineStr">
        <is>
          <t>Rita Ncube</t>
        </is>
      </c>
      <c r="C87" s="1134" t="inlineStr">
        <is>
          <t>Tranche 6</t>
        </is>
      </c>
      <c r="D87" s="1147" t="n">
        <v>46035</v>
      </c>
      <c r="E87" s="1147" t="n">
        <v>46098</v>
      </c>
      <c r="F87" s="1137" t="n">
        <v>0.7689</v>
      </c>
      <c r="G87" s="1142" t="inlineStr">
        <is>
          <t>Still busy</t>
        </is>
      </c>
      <c r="H87" s="1140" t="inlineStr">
        <is>
          <t>No</t>
        </is>
      </c>
      <c r="I87" s="1148" t="inlineStr">
        <is>
          <t>—</t>
        </is>
      </c>
      <c r="J87" s="1149" t="n">
        <v>0</v>
      </c>
    </row>
    <row r="88">
      <c r="A88" s="1134" t="n">
        <v>85</v>
      </c>
      <c r="B88" s="1135" t="inlineStr">
        <is>
          <t>Violet Labvu</t>
        </is>
      </c>
      <c r="C88" s="1134" t="inlineStr">
        <is>
          <t>Tranche 6</t>
        </is>
      </c>
      <c r="D88" s="1147" t="n">
        <v>46035</v>
      </c>
      <c r="E88" s="1147" t="n">
        <v>46098</v>
      </c>
      <c r="F88" s="1137" t="n">
        <v>0.9025</v>
      </c>
      <c r="G88" s="1142" t="inlineStr">
        <is>
          <t>Still busy</t>
        </is>
      </c>
      <c r="H88" s="1140" t="inlineStr">
        <is>
          <t>No</t>
        </is>
      </c>
      <c r="I88" s="1148" t="inlineStr">
        <is>
          <t>—</t>
        </is>
      </c>
      <c r="J88" s="1149" t="n">
        <v>0</v>
      </c>
    </row>
    <row r="89">
      <c r="A89" s="1134" t="n">
        <v>86</v>
      </c>
      <c r="B89" s="1135" t="inlineStr">
        <is>
          <t>Bekithemba Mpofu</t>
        </is>
      </c>
      <c r="C89" s="1134" t="inlineStr">
        <is>
          <t>Tranche 7</t>
        </is>
      </c>
      <c r="D89" s="1147" t="n">
        <v>46036</v>
      </c>
      <c r="E89" s="1147" t="n">
        <v>46099</v>
      </c>
      <c r="F89" s="1137" t="n">
        <v>0.789</v>
      </c>
      <c r="G89" s="1140" t="inlineStr">
        <is>
          <t>Not started</t>
        </is>
      </c>
      <c r="H89" s="1140" t="inlineStr">
        <is>
          <t>No</t>
        </is>
      </c>
      <c r="I89" s="1148" t="inlineStr">
        <is>
          <t>—</t>
        </is>
      </c>
      <c r="J89" s="1149" t="n">
        <v>0</v>
      </c>
    </row>
    <row r="90">
      <c r="A90" s="1134" t="n">
        <v>87</v>
      </c>
      <c r="B90" s="1135" t="inlineStr">
        <is>
          <t>Blessing Rofhiwa Ndou</t>
        </is>
      </c>
      <c r="C90" s="1134" t="inlineStr">
        <is>
          <t>Tranche 7</t>
        </is>
      </c>
      <c r="D90" s="1147" t="n">
        <v>46036</v>
      </c>
      <c r="E90" s="1147" t="n">
        <v>46099</v>
      </c>
      <c r="F90" s="1139" t="n">
        <v>0.5517</v>
      </c>
      <c r="G90" s="1140" t="inlineStr">
        <is>
          <t>Not started</t>
        </is>
      </c>
      <c r="H90" s="1140" t="inlineStr">
        <is>
          <t>No</t>
        </is>
      </c>
      <c r="I90" s="1148" t="inlineStr">
        <is>
          <t>—</t>
        </is>
      </c>
      <c r="J90" s="1149" t="n">
        <v>0</v>
      </c>
    </row>
    <row r="91">
      <c r="A91" s="1134" t="n">
        <v>88</v>
      </c>
      <c r="B91" s="1135" t="inlineStr">
        <is>
          <t>Immaculate Tshegofatso Mataboge</t>
        </is>
      </c>
      <c r="C91" s="1134" t="inlineStr">
        <is>
          <t>Tranche 7</t>
        </is>
      </c>
      <c r="D91" s="1147" t="n">
        <v>46036</v>
      </c>
      <c r="E91" s="1147" t="n">
        <v>46099</v>
      </c>
      <c r="F91" s="1137" t="n">
        <v>0.8267</v>
      </c>
      <c r="G91" s="1140" t="inlineStr">
        <is>
          <t>Not started</t>
        </is>
      </c>
      <c r="H91" s="1140" t="inlineStr">
        <is>
          <t>No</t>
        </is>
      </c>
      <c r="I91" s="1148" t="inlineStr">
        <is>
          <t>—</t>
        </is>
      </c>
      <c r="J91" s="1149" t="n">
        <v>0</v>
      </c>
    </row>
    <row r="92">
      <c r="A92" s="1134" t="n">
        <v>89</v>
      </c>
      <c r="B92" s="1135" t="inlineStr">
        <is>
          <t>Josephine Olaide Olaleye</t>
        </is>
      </c>
      <c r="C92" s="1134" t="inlineStr">
        <is>
          <t>Tranche 7</t>
        </is>
      </c>
      <c r="D92" s="1147" t="n">
        <v>46036</v>
      </c>
      <c r="E92" s="1147" t="n">
        <v>46099</v>
      </c>
      <c r="F92" s="1139" t="n">
        <v>0.6933</v>
      </c>
      <c r="G92" s="1140" t="inlineStr">
        <is>
          <t>Not started</t>
        </is>
      </c>
      <c r="H92" s="1140" t="inlineStr">
        <is>
          <t>No</t>
        </is>
      </c>
      <c r="I92" s="1148" t="inlineStr">
        <is>
          <t>—</t>
        </is>
      </c>
      <c r="J92" s="1149" t="n">
        <v>0</v>
      </c>
    </row>
    <row r="93">
      <c r="A93" s="1134" t="n">
        <v>90</v>
      </c>
      <c r="B93" s="1135" t="inlineStr">
        <is>
          <t>Lydia James Banda</t>
        </is>
      </c>
      <c r="C93" s="1134" t="inlineStr">
        <is>
          <t>Tranche 7</t>
        </is>
      </c>
      <c r="D93" s="1147" t="n">
        <v>46036</v>
      </c>
      <c r="E93" s="1147" t="n">
        <v>46099</v>
      </c>
      <c r="F93" s="1137" t="n">
        <v>0.918</v>
      </c>
      <c r="G93" s="1140" t="inlineStr">
        <is>
          <t>Not started</t>
        </is>
      </c>
      <c r="H93" s="1140" t="inlineStr">
        <is>
          <t>No</t>
        </is>
      </c>
      <c r="I93" s="1148" t="inlineStr">
        <is>
          <t>—</t>
        </is>
      </c>
      <c r="J93" s="1149" t="n">
        <v>0</v>
      </c>
    </row>
    <row r="94">
      <c r="A94" s="1134" t="n">
        <v>91</v>
      </c>
      <c r="B94" s="1135" t="inlineStr">
        <is>
          <t>Margaret Mamatime Dimakatso Aphane</t>
        </is>
      </c>
      <c r="C94" s="1134" t="inlineStr">
        <is>
          <t>Tranche 7</t>
        </is>
      </c>
      <c r="D94" s="1147" t="n">
        <v>46036</v>
      </c>
      <c r="E94" s="1147" t="n">
        <v>46099</v>
      </c>
      <c r="F94" s="1137" t="n">
        <v>0.745</v>
      </c>
      <c r="G94" s="1142" t="inlineStr">
        <is>
          <t>Still busy</t>
        </is>
      </c>
      <c r="H94" s="1140" t="inlineStr">
        <is>
          <t>No</t>
        </is>
      </c>
      <c r="I94" s="1148" t="inlineStr">
        <is>
          <t>—</t>
        </is>
      </c>
      <c r="J94" s="1149" t="n">
        <v>0</v>
      </c>
    </row>
    <row r="95">
      <c r="A95" s="1134" t="n">
        <v>92</v>
      </c>
      <c r="B95" s="1135" t="inlineStr">
        <is>
          <t>Mary Komwedzai</t>
        </is>
      </c>
      <c r="C95" s="1134" t="inlineStr">
        <is>
          <t>Tranche 7</t>
        </is>
      </c>
      <c r="D95" s="1147" t="n">
        <v>46036</v>
      </c>
      <c r="E95" s="1147" t="n">
        <v>46099</v>
      </c>
      <c r="F95" s="1139" t="n">
        <v>0.5891999999999999</v>
      </c>
      <c r="G95" s="1142" t="inlineStr">
        <is>
          <t>Still busy</t>
        </is>
      </c>
      <c r="H95" s="1140" t="inlineStr">
        <is>
          <t>No</t>
        </is>
      </c>
      <c r="I95" s="1148" t="inlineStr">
        <is>
          <t>—</t>
        </is>
      </c>
      <c r="J95" s="1149" t="n">
        <v>0</v>
      </c>
    </row>
    <row r="96">
      <c r="A96" s="1134" t="n">
        <v>93</v>
      </c>
      <c r="B96" s="1135" t="inlineStr">
        <is>
          <t>Octovia Xitsundzuxo Marhanele</t>
        </is>
      </c>
      <c r="C96" s="1134" t="inlineStr">
        <is>
          <t>Tranche 7</t>
        </is>
      </c>
      <c r="D96" s="1147" t="n">
        <v>46036</v>
      </c>
      <c r="E96" s="1147" t="n">
        <v>46099</v>
      </c>
      <c r="F96" s="1137" t="n">
        <v>0.861</v>
      </c>
      <c r="G96" s="1140" t="inlineStr">
        <is>
          <t>Not started</t>
        </is>
      </c>
      <c r="H96" s="1140" t="inlineStr">
        <is>
          <t>No</t>
        </is>
      </c>
      <c r="I96" s="1148" t="inlineStr">
        <is>
          <t>—</t>
        </is>
      </c>
      <c r="J96" s="1149" t="n">
        <v>0</v>
      </c>
    </row>
    <row r="97">
      <c r="A97" s="1134" t="n">
        <v>94</v>
      </c>
      <c r="B97" s="1135" t="inlineStr">
        <is>
          <t>Patience Sesi Poto</t>
        </is>
      </c>
      <c r="C97" s="1134" t="inlineStr">
        <is>
          <t>Tranche 7</t>
        </is>
      </c>
      <c r="D97" s="1147" t="n">
        <v>46036</v>
      </c>
      <c r="E97" s="1147" t="n">
        <v>46099</v>
      </c>
      <c r="F97" s="1137" t="n">
        <v>0.724</v>
      </c>
      <c r="G97" s="1142" t="inlineStr">
        <is>
          <t>Still busy</t>
        </is>
      </c>
      <c r="H97" s="1140" t="inlineStr">
        <is>
          <t>No</t>
        </is>
      </c>
      <c r="I97" s="1148" t="inlineStr">
        <is>
          <t>—</t>
        </is>
      </c>
      <c r="J97" s="1149" t="n">
        <v>0</v>
      </c>
    </row>
    <row r="98">
      <c r="A98" s="1134" t="n">
        <v>95</v>
      </c>
      <c r="B98" s="1135" t="inlineStr">
        <is>
          <t>Sandra Mhaka</t>
        </is>
      </c>
      <c r="C98" s="1134" t="inlineStr">
        <is>
          <t>Tranche 7</t>
        </is>
      </c>
      <c r="D98" s="1147" t="n">
        <v>46036</v>
      </c>
      <c r="E98" s="1147" t="n">
        <v>46099</v>
      </c>
      <c r="F98" s="1139" t="n">
        <v>0.6325</v>
      </c>
      <c r="G98" s="1142" t="inlineStr">
        <is>
          <t>Still busy</t>
        </is>
      </c>
      <c r="H98" s="1140" t="inlineStr">
        <is>
          <t>No</t>
        </is>
      </c>
      <c r="I98" s="1148" t="inlineStr">
        <is>
          <t>—</t>
        </is>
      </c>
      <c r="J98" s="1149" t="n">
        <v>0</v>
      </c>
    </row>
    <row r="99">
      <c r="A99" s="1134" t="n">
        <v>96</v>
      </c>
      <c r="B99" s="1135" t="inlineStr">
        <is>
          <t>Sibonokuhle Mpofu</t>
        </is>
      </c>
      <c r="C99" s="1134" t="inlineStr">
        <is>
          <t>Tranche 7</t>
        </is>
      </c>
      <c r="D99" s="1147" t="n">
        <v>46036</v>
      </c>
      <c r="E99" s="1147" t="n">
        <v>46099</v>
      </c>
      <c r="F99" s="1137" t="n">
        <v>0.9567</v>
      </c>
      <c r="G99" s="1140" t="inlineStr">
        <is>
          <t>Not started</t>
        </is>
      </c>
      <c r="H99" s="1140" t="inlineStr">
        <is>
          <t>No</t>
        </is>
      </c>
      <c r="I99" s="1148" t="inlineStr">
        <is>
          <t>—</t>
        </is>
      </c>
      <c r="J99" s="1149" t="n">
        <v>0</v>
      </c>
    </row>
    <row r="100">
      <c r="A100" s="1134" t="n">
        <v>97</v>
      </c>
      <c r="B100" s="1135" t="inlineStr">
        <is>
          <t>Thandiwe Dhlodhlo</t>
        </is>
      </c>
      <c r="C100" s="1134" t="inlineStr">
        <is>
          <t>Tranche 7</t>
        </is>
      </c>
      <c r="D100" s="1147" t="n">
        <v>46036</v>
      </c>
      <c r="E100" s="1147" t="n">
        <v>46099</v>
      </c>
      <c r="F100" s="1139" t="n">
        <v>0.6083</v>
      </c>
      <c r="G100" s="1140" t="inlineStr">
        <is>
          <t>Not started</t>
        </is>
      </c>
      <c r="H100" s="1140" t="inlineStr">
        <is>
          <t>No</t>
        </is>
      </c>
      <c r="I100" s="1148" t="inlineStr">
        <is>
          <t>—</t>
        </is>
      </c>
      <c r="J100" s="1149" t="n">
        <v>0</v>
      </c>
    </row>
    <row r="101">
      <c r="A101" s="1134" t="n">
        <v>98</v>
      </c>
      <c r="B101" s="1135" t="inlineStr">
        <is>
          <t>Thembi Emily Mpete</t>
        </is>
      </c>
      <c r="C101" s="1134" t="inlineStr">
        <is>
          <t>Tranche 7</t>
        </is>
      </c>
      <c r="D101" s="1147" t="n">
        <v>46036</v>
      </c>
      <c r="E101" s="1147" t="n">
        <v>46099</v>
      </c>
      <c r="F101" s="1137" t="n">
        <v>0.8825</v>
      </c>
      <c r="G101" s="1140" t="inlineStr">
        <is>
          <t>Not started</t>
        </is>
      </c>
      <c r="H101" s="1140" t="inlineStr">
        <is>
          <t>No</t>
        </is>
      </c>
      <c r="I101" s="1148" t="inlineStr">
        <is>
          <t>—</t>
        </is>
      </c>
      <c r="J101" s="1149" t="n">
        <v>0</v>
      </c>
    </row>
    <row r="102">
      <c r="A102" s="1134" t="n">
        <v>99</v>
      </c>
      <c r="B102" s="1135" t="inlineStr">
        <is>
          <t>Chipo Mujere</t>
        </is>
      </c>
      <c r="C102" s="1134" t="inlineStr">
        <is>
          <t>Tranche 8</t>
        </is>
      </c>
      <c r="D102" s="1147" t="n">
        <v>46037</v>
      </c>
      <c r="E102" s="1147" t="n">
        <v>46100</v>
      </c>
      <c r="F102" s="1137" t="n">
        <v>0.8871</v>
      </c>
      <c r="G102" s="1140" t="inlineStr">
        <is>
          <t>Not started</t>
        </is>
      </c>
      <c r="H102" s="1140" t="inlineStr">
        <is>
          <t>No</t>
        </is>
      </c>
      <c r="I102" s="1148" t="inlineStr">
        <is>
          <t>—</t>
        </is>
      </c>
      <c r="J102" s="1149" t="n">
        <v>0</v>
      </c>
    </row>
    <row r="103">
      <c r="A103" s="1134" t="n">
        <v>100</v>
      </c>
      <c r="B103" s="1135" t="inlineStr">
        <is>
          <t>Janine Louise Jones</t>
        </is>
      </c>
      <c r="C103" s="1134" t="inlineStr">
        <is>
          <t>Tranche 8</t>
        </is>
      </c>
      <c r="D103" s="1147" t="n">
        <v>46037</v>
      </c>
      <c r="E103" s="1147" t="n">
        <v>46100</v>
      </c>
      <c r="F103" s="1137" t="n">
        <v>0.7065</v>
      </c>
      <c r="G103" s="1140" t="inlineStr">
        <is>
          <t>Not started</t>
        </is>
      </c>
      <c r="H103" s="1140" t="inlineStr">
        <is>
          <t>No</t>
        </is>
      </c>
      <c r="I103" s="1148" t="inlineStr">
        <is>
          <t>—</t>
        </is>
      </c>
      <c r="J103" s="1149" t="n">
        <v>0</v>
      </c>
    </row>
    <row r="104">
      <c r="A104" s="1134" t="n">
        <v>101</v>
      </c>
      <c r="B104" s="1135" t="inlineStr">
        <is>
          <t>Jeanine Judith Corringham</t>
        </is>
      </c>
      <c r="C104" s="1134" t="inlineStr">
        <is>
          <t>Tranche 8</t>
        </is>
      </c>
      <c r="D104" s="1147" t="n">
        <v>46037</v>
      </c>
      <c r="E104" s="1147" t="n">
        <v>46100</v>
      </c>
      <c r="F104" s="1137" t="n">
        <v>0.8209</v>
      </c>
      <c r="G104" s="1140" t="inlineStr">
        <is>
          <t>Not started</t>
        </is>
      </c>
      <c r="H104" s="1140" t="inlineStr">
        <is>
          <t>No</t>
        </is>
      </c>
      <c r="I104" s="1135" t="inlineStr">
        <is>
          <t>Martha Sona</t>
        </is>
      </c>
      <c r="J104" s="1150" t="n">
        <v>900</v>
      </c>
    </row>
    <row r="105">
      <c r="A105" s="1134" t="n">
        <v>102</v>
      </c>
      <c r="B105" s="1135" t="inlineStr">
        <is>
          <t>Maphefo Dinah Mogola</t>
        </is>
      </c>
      <c r="C105" s="1134" t="inlineStr">
        <is>
          <t>Tranche 8</t>
        </is>
      </c>
      <c r="D105" s="1147" t="n">
        <v>46037</v>
      </c>
      <c r="E105" s="1147" t="n">
        <v>46100</v>
      </c>
      <c r="F105" s="1139" t="n">
        <v>0.5624</v>
      </c>
      <c r="G105" s="1140" t="inlineStr">
        <is>
          <t>Not started</t>
        </is>
      </c>
      <c r="H105" s="1140" t="inlineStr">
        <is>
          <t>No</t>
        </is>
      </c>
      <c r="I105" s="1148" t="inlineStr">
        <is>
          <t>—</t>
        </is>
      </c>
      <c r="J105" s="1149" t="n">
        <v>0</v>
      </c>
    </row>
    <row r="106">
      <c r="A106" s="1134" t="n">
        <v>103</v>
      </c>
      <c r="B106" s="1135" t="inlineStr">
        <is>
          <t>Martha Kedibone Mashigo</t>
        </is>
      </c>
      <c r="C106" s="1134" t="inlineStr">
        <is>
          <t>Tranche 8</t>
        </is>
      </c>
      <c r="D106" s="1147" t="n">
        <v>46037</v>
      </c>
      <c r="E106" s="1147" t="n">
        <v>46100</v>
      </c>
      <c r="F106" s="1139" t="n">
        <v>0.6891</v>
      </c>
      <c r="G106" s="1140" t="inlineStr">
        <is>
          <t>Not started</t>
        </is>
      </c>
      <c r="H106" s="1140" t="inlineStr">
        <is>
          <t>No</t>
        </is>
      </c>
      <c r="I106" s="1148" t="inlineStr">
        <is>
          <t>—</t>
        </is>
      </c>
      <c r="J106" s="1149" t="n">
        <v>0</v>
      </c>
    </row>
    <row r="107">
      <c r="A107" s="1134" t="n">
        <v>104</v>
      </c>
      <c r="B107" s="1135" t="inlineStr">
        <is>
          <t>Martha Uke Sona</t>
        </is>
      </c>
      <c r="C107" s="1134" t="inlineStr">
        <is>
          <t>Tranche 8</t>
        </is>
      </c>
      <c r="D107" s="1147" t="n">
        <v>46037</v>
      </c>
      <c r="E107" s="1147" t="n">
        <v>46100</v>
      </c>
      <c r="F107" s="1137" t="n">
        <v>0.7358</v>
      </c>
      <c r="G107" s="1140" t="inlineStr">
        <is>
          <t>Not started</t>
        </is>
      </c>
      <c r="H107" s="1140" t="inlineStr">
        <is>
          <t>No</t>
        </is>
      </c>
      <c r="I107" s="1148" t="inlineStr">
        <is>
          <t>—</t>
        </is>
      </c>
      <c r="J107" s="1149" t="n">
        <v>0</v>
      </c>
    </row>
    <row r="108">
      <c r="A108" s="1134" t="n">
        <v>105</v>
      </c>
      <c r="B108" s="1135" t="inlineStr">
        <is>
          <t>Nolukhanyo Nondabula</t>
        </is>
      </c>
      <c r="C108" s="1134" t="inlineStr">
        <is>
          <t>Tranche 8</t>
        </is>
      </c>
      <c r="D108" s="1147" t="n">
        <v>46037</v>
      </c>
      <c r="E108" s="1147" t="n">
        <v>46100</v>
      </c>
      <c r="F108" s="1137" t="n">
        <v>0.8147</v>
      </c>
      <c r="G108" s="1140" t="inlineStr">
        <is>
          <t>Not started</t>
        </is>
      </c>
      <c r="H108" s="1140" t="inlineStr">
        <is>
          <t>No</t>
        </is>
      </c>
      <c r="I108" s="1148" t="inlineStr">
        <is>
          <t>—</t>
        </is>
      </c>
      <c r="J108" s="1149" t="n">
        <v>0</v>
      </c>
    </row>
    <row r="109">
      <c r="A109" s="1134" t="n">
        <v>106</v>
      </c>
      <c r="B109" s="1135" t="inlineStr">
        <is>
          <t>Ntombifikile Octavia Mhlongo</t>
        </is>
      </c>
      <c r="C109" s="1134" t="inlineStr">
        <is>
          <t>Tranche 8</t>
        </is>
      </c>
      <c r="D109" s="1147" t="n">
        <v>46037</v>
      </c>
      <c r="E109" s="1147" t="n">
        <v>46100</v>
      </c>
      <c r="F109" s="1139" t="n">
        <v>0.5976</v>
      </c>
      <c r="G109" s="1140" t="inlineStr">
        <is>
          <t>Not started</t>
        </is>
      </c>
      <c r="H109" s="1140" t="inlineStr">
        <is>
          <t>No</t>
        </is>
      </c>
      <c r="I109" s="1148" t="inlineStr">
        <is>
          <t>—</t>
        </is>
      </c>
      <c r="J109" s="1149" t="n">
        <v>0</v>
      </c>
    </row>
    <row r="110">
      <c r="A110" s="1134" t="n">
        <v>107</v>
      </c>
      <c r="B110" s="1135" t="inlineStr">
        <is>
          <t>Sibongile Sophia Watanzi Tshibala</t>
        </is>
      </c>
      <c r="C110" s="1134" t="inlineStr">
        <is>
          <t>Tranche 8</t>
        </is>
      </c>
      <c r="D110" s="1147" t="n">
        <v>46037</v>
      </c>
      <c r="E110" s="1147" t="n">
        <v>46100</v>
      </c>
      <c r="F110" s="1137" t="n">
        <v>0.7733</v>
      </c>
      <c r="G110" s="1140" t="inlineStr">
        <is>
          <t>Not started</t>
        </is>
      </c>
      <c r="H110" s="1140" t="inlineStr">
        <is>
          <t>No</t>
        </is>
      </c>
      <c r="I110" s="1151" t="inlineStr">
        <is>
          <t>Fortunate Mabizela</t>
        </is>
      </c>
      <c r="J110" s="1150" t="n">
        <v>5800</v>
      </c>
    </row>
    <row r="111">
      <c r="A111" s="1134" t="n">
        <v>108</v>
      </c>
      <c r="B111" s="1135" t="inlineStr">
        <is>
          <t>Sithenjisiwe Gumbi</t>
        </is>
      </c>
      <c r="C111" s="1134" t="inlineStr">
        <is>
          <t>Tranche 8</t>
        </is>
      </c>
      <c r="D111" s="1147" t="n">
        <v>46037</v>
      </c>
      <c r="E111" s="1147" t="n">
        <v>46100</v>
      </c>
      <c r="F111" s="1137" t="n">
        <v>0.8592</v>
      </c>
      <c r="G111" s="1140" t="inlineStr">
        <is>
          <t>Not started</t>
        </is>
      </c>
      <c r="H111" s="1140" t="inlineStr">
        <is>
          <t>No</t>
        </is>
      </c>
      <c r="I111" s="1148" t="inlineStr">
        <is>
          <t>—</t>
        </is>
      </c>
      <c r="J111" s="1149" t="n">
        <v>0</v>
      </c>
    </row>
    <row r="112">
      <c r="A112" s="1134" t="n">
        <v>109</v>
      </c>
      <c r="B112" s="1135" t="inlineStr">
        <is>
          <t>Smangele Linah Chauke</t>
        </is>
      </c>
      <c r="C112" s="1134" t="inlineStr">
        <is>
          <t>Tranche 8</t>
        </is>
      </c>
      <c r="D112" s="1147" t="n">
        <v>46037</v>
      </c>
      <c r="E112" s="1147" t="n">
        <v>46100</v>
      </c>
      <c r="F112" s="1137" t="n">
        <v>0.9314</v>
      </c>
      <c r="G112" s="1140" t="inlineStr">
        <is>
          <t>Not started</t>
        </is>
      </c>
      <c r="H112" s="1140" t="inlineStr">
        <is>
          <t>No</t>
        </is>
      </c>
      <c r="I112" s="1148" t="inlineStr">
        <is>
          <t>—</t>
        </is>
      </c>
      <c r="J112" s="1149" t="n">
        <v>0</v>
      </c>
    </row>
    <row r="113">
      <c r="A113" s="1134" t="n">
        <v>110</v>
      </c>
      <c r="B113" s="1135" t="inlineStr">
        <is>
          <t>Xolile Fortunate Mabizela</t>
        </is>
      </c>
      <c r="C113" s="1134" t="inlineStr">
        <is>
          <t>Tranche 8</t>
        </is>
      </c>
      <c r="D113" s="1147" t="n">
        <v>46037</v>
      </c>
      <c r="E113" s="1147" t="n">
        <v>46100</v>
      </c>
      <c r="F113" s="1139" t="n">
        <v>0.6428</v>
      </c>
      <c r="G113" s="1140" t="inlineStr">
        <is>
          <t>Not started</t>
        </is>
      </c>
      <c r="H113" s="1140" t="inlineStr">
        <is>
          <t>No</t>
        </is>
      </c>
      <c r="I113" s="1148" t="inlineStr">
        <is>
          <t>—</t>
        </is>
      </c>
      <c r="J113" s="1149" t="n">
        <v>0</v>
      </c>
    </row>
    <row r="114">
      <c r="A114" s="1134" t="n">
        <v>111</v>
      </c>
      <c r="B114" s="1135" t="inlineStr">
        <is>
          <t>Juliet Tshakane Lekgothoane</t>
        </is>
      </c>
      <c r="C114" s="1134" t="inlineStr">
        <is>
          <t>Tranche 9</t>
        </is>
      </c>
      <c r="D114" s="1147" t="n">
        <v>46038</v>
      </c>
      <c r="E114" s="1147" t="n">
        <v>46108</v>
      </c>
      <c r="F114" s="1134" t="n"/>
      <c r="G114" s="1134" t="inlineStr">
        <is>
          <t>Not started</t>
        </is>
      </c>
      <c r="H114" s="1143" t="inlineStr">
        <is>
          <t>Pending</t>
        </is>
      </c>
      <c r="I114" s="1148" t="inlineStr">
        <is>
          <t>—</t>
        </is>
      </c>
      <c r="J114" s="1149" t="n">
        <v>0</v>
      </c>
    </row>
    <row r="115">
      <c r="A115" s="1134" t="n">
        <v>112</v>
      </c>
      <c r="B115" s="1135" t="inlineStr">
        <is>
          <t>Karabo Mabye</t>
        </is>
      </c>
      <c r="C115" s="1134" t="inlineStr">
        <is>
          <t>Tranche 9</t>
        </is>
      </c>
      <c r="D115" s="1147" t="n">
        <v>46038</v>
      </c>
      <c r="E115" s="1147" t="n">
        <v>46108</v>
      </c>
      <c r="F115" s="1134" t="n"/>
      <c r="G115" s="1134" t="inlineStr">
        <is>
          <t>Not started</t>
        </is>
      </c>
      <c r="H115" s="1143" t="inlineStr">
        <is>
          <t>Pending</t>
        </is>
      </c>
      <c r="I115" s="1148" t="inlineStr">
        <is>
          <t>—</t>
        </is>
      </c>
      <c r="J115" s="1149" t="n">
        <v>0</v>
      </c>
    </row>
    <row r="116">
      <c r="A116" s="1134" t="n">
        <v>113</v>
      </c>
      <c r="B116" s="1135" t="inlineStr">
        <is>
          <t>Leandra Sharlen Emalize Williams</t>
        </is>
      </c>
      <c r="C116" s="1134" t="inlineStr">
        <is>
          <t>Tranche 9</t>
        </is>
      </c>
      <c r="D116" s="1147" t="n">
        <v>46038</v>
      </c>
      <c r="E116" s="1147" t="n">
        <v>46108</v>
      </c>
      <c r="F116" s="1134" t="n"/>
      <c r="G116" s="1134" t="inlineStr">
        <is>
          <t>Not started</t>
        </is>
      </c>
      <c r="H116" s="1143" t="inlineStr">
        <is>
          <t>Pending</t>
        </is>
      </c>
      <c r="I116" s="1148" t="inlineStr">
        <is>
          <t>—</t>
        </is>
      </c>
      <c r="J116" s="1149" t="n">
        <v>0</v>
      </c>
    </row>
    <row r="117">
      <c r="A117" s="1134" t="n">
        <v>114</v>
      </c>
      <c r="B117" s="1135" t="inlineStr">
        <is>
          <t>Lisa Thembi Phasha</t>
        </is>
      </c>
      <c r="C117" s="1134" t="inlineStr">
        <is>
          <t>Tranche 9</t>
        </is>
      </c>
      <c r="D117" s="1147" t="n">
        <v>46038</v>
      </c>
      <c r="E117" s="1147" t="n">
        <v>46108</v>
      </c>
      <c r="F117" s="1134" t="n"/>
      <c r="G117" s="1134" t="inlineStr">
        <is>
          <t>Not started</t>
        </is>
      </c>
      <c r="H117" s="1143" t="inlineStr">
        <is>
          <t>Pending</t>
        </is>
      </c>
      <c r="I117" s="1148" t="inlineStr">
        <is>
          <t>—</t>
        </is>
      </c>
      <c r="J117" s="1149" t="n">
        <v>0</v>
      </c>
    </row>
    <row r="118">
      <c r="A118" s="1134" t="n">
        <v>115</v>
      </c>
      <c r="B118" s="1135" t="inlineStr">
        <is>
          <t>Mamohlolo Nkalai</t>
        </is>
      </c>
      <c r="C118" s="1134" t="inlineStr">
        <is>
          <t>Tranche 9</t>
        </is>
      </c>
      <c r="D118" s="1147" t="n">
        <v>46038</v>
      </c>
      <c r="E118" s="1147" t="n">
        <v>46108</v>
      </c>
      <c r="F118" s="1134" t="n"/>
      <c r="G118" s="1134" t="inlineStr">
        <is>
          <t>Not started</t>
        </is>
      </c>
      <c r="H118" s="1143" t="inlineStr">
        <is>
          <t>Pending</t>
        </is>
      </c>
      <c r="I118" s="1148" t="inlineStr">
        <is>
          <t>—</t>
        </is>
      </c>
      <c r="J118" s="1149" t="n">
        <v>0</v>
      </c>
    </row>
    <row r="119">
      <c r="A119" s="1134" t="n">
        <v>116</v>
      </c>
      <c r="B119" s="1135" t="inlineStr">
        <is>
          <t>Marlise Louise Els</t>
        </is>
      </c>
      <c r="C119" s="1134" t="inlineStr">
        <is>
          <t>Tranche 9</t>
        </is>
      </c>
      <c r="D119" s="1147" t="n">
        <v>46038</v>
      </c>
      <c r="E119" s="1147" t="n">
        <v>46108</v>
      </c>
      <c r="F119" s="1134" t="n"/>
      <c r="G119" s="1134" t="inlineStr">
        <is>
          <t>Not started</t>
        </is>
      </c>
      <c r="H119" s="1143" t="inlineStr">
        <is>
          <t>Pending</t>
        </is>
      </c>
      <c r="I119" s="1148" t="inlineStr">
        <is>
          <t>—</t>
        </is>
      </c>
      <c r="J119" s="1149" t="n">
        <v>0</v>
      </c>
    </row>
    <row r="120">
      <c r="A120" s="1134" t="n">
        <v>117</v>
      </c>
      <c r="B120" s="1135" t="inlineStr">
        <is>
          <t>Mashudu Thalitha Managa</t>
        </is>
      </c>
      <c r="C120" s="1134" t="inlineStr">
        <is>
          <t>Tranche 9</t>
        </is>
      </c>
      <c r="D120" s="1147" t="n">
        <v>46038</v>
      </c>
      <c r="E120" s="1147" t="n">
        <v>46108</v>
      </c>
      <c r="F120" s="1134" t="n"/>
      <c r="G120" s="1134" t="inlineStr">
        <is>
          <t>Not started</t>
        </is>
      </c>
      <c r="H120" s="1143" t="inlineStr">
        <is>
          <t>Pending</t>
        </is>
      </c>
      <c r="I120" s="1148" t="inlineStr">
        <is>
          <t>—</t>
        </is>
      </c>
      <c r="J120" s="1149" t="n">
        <v>0</v>
      </c>
    </row>
    <row r="121">
      <c r="A121" s="1134" t="n">
        <v>118</v>
      </c>
      <c r="B121" s="1135" t="inlineStr">
        <is>
          <t>Philadelpia Tsakani Mashaba</t>
        </is>
      </c>
      <c r="C121" s="1134" t="inlineStr">
        <is>
          <t>Tranche 9</t>
        </is>
      </c>
      <c r="D121" s="1147" t="n">
        <v>46038</v>
      </c>
      <c r="E121" s="1147" t="n">
        <v>46108</v>
      </c>
      <c r="F121" s="1134" t="n"/>
      <c r="G121" s="1134" t="inlineStr">
        <is>
          <t>Not started</t>
        </is>
      </c>
      <c r="H121" s="1143" t="inlineStr">
        <is>
          <t>Pending</t>
        </is>
      </c>
      <c r="I121" s="1148" t="inlineStr">
        <is>
          <t>—</t>
        </is>
      </c>
      <c r="J121" s="1149" t="n">
        <v>0</v>
      </c>
    </row>
    <row r="122">
      <c r="A122" s="1134" t="n">
        <v>119</v>
      </c>
      <c r="B122" s="1135" t="inlineStr">
        <is>
          <t>Prisca Ndlovu</t>
        </is>
      </c>
      <c r="C122" s="1134" t="inlineStr">
        <is>
          <t>Tranche 9</t>
        </is>
      </c>
      <c r="D122" s="1147" t="n">
        <v>46038</v>
      </c>
      <c r="E122" s="1147" t="n">
        <v>46108</v>
      </c>
      <c r="F122" s="1134" t="n"/>
      <c r="G122" s="1134" t="inlineStr">
        <is>
          <t>Not started</t>
        </is>
      </c>
      <c r="H122" s="1143" t="inlineStr">
        <is>
          <t>Pending</t>
        </is>
      </c>
      <c r="I122" s="1148" t="inlineStr">
        <is>
          <t>—</t>
        </is>
      </c>
      <c r="J122" s="1149" t="n">
        <v>0</v>
      </c>
    </row>
    <row r="123">
      <c r="A123" s="1134" t="n">
        <v>120</v>
      </c>
      <c r="B123" s="1135" t="inlineStr">
        <is>
          <t>Reshoketswe Amber Makgahlela</t>
        </is>
      </c>
      <c r="C123" s="1134" t="inlineStr">
        <is>
          <t>Tranche 9</t>
        </is>
      </c>
      <c r="D123" s="1147" t="n">
        <v>46038</v>
      </c>
      <c r="E123" s="1147" t="n">
        <v>46108</v>
      </c>
      <c r="F123" s="1134" t="n"/>
      <c r="G123" s="1134" t="inlineStr">
        <is>
          <t>Not started</t>
        </is>
      </c>
      <c r="H123" s="1143" t="inlineStr">
        <is>
          <t>Pending</t>
        </is>
      </c>
      <c r="I123" s="1148" t="inlineStr">
        <is>
          <t>—</t>
        </is>
      </c>
      <c r="J123" s="1149" t="n">
        <v>0</v>
      </c>
    </row>
    <row r="124">
      <c r="A124" s="1134" t="n">
        <v>121</v>
      </c>
      <c r="B124" s="1135" t="inlineStr">
        <is>
          <t>Sinqobile Chiropa</t>
        </is>
      </c>
      <c r="C124" s="1134" t="inlineStr">
        <is>
          <t>Tranche 9</t>
        </is>
      </c>
      <c r="D124" s="1147" t="n">
        <v>46038</v>
      </c>
      <c r="E124" s="1147" t="n">
        <v>46108</v>
      </c>
      <c r="F124" s="1134" t="n"/>
      <c r="G124" s="1134" t="inlineStr">
        <is>
          <t>Not started</t>
        </is>
      </c>
      <c r="H124" s="1143" t="inlineStr">
        <is>
          <t>Pending</t>
        </is>
      </c>
      <c r="I124" s="1151" t="inlineStr">
        <is>
          <t>Thalitha Managa</t>
        </is>
      </c>
      <c r="J124" s="1150" t="n">
        <v>2000</v>
      </c>
    </row>
    <row r="125">
      <c r="A125" s="1134" t="n">
        <v>122</v>
      </c>
      <c r="B125" s="1135" t="inlineStr">
        <is>
          <t>Siphesihle Rabotho</t>
        </is>
      </c>
      <c r="C125" s="1134" t="inlineStr">
        <is>
          <t>Tranche 9</t>
        </is>
      </c>
      <c r="D125" s="1147" t="n">
        <v>46038</v>
      </c>
      <c r="E125" s="1147" t="n">
        <v>46108</v>
      </c>
      <c r="F125" s="1134" t="n"/>
      <c r="G125" s="1134" t="inlineStr">
        <is>
          <t>Not started</t>
        </is>
      </c>
      <c r="H125" s="1143" t="inlineStr">
        <is>
          <t>Pending</t>
        </is>
      </c>
      <c r="I125" s="1151" t="inlineStr">
        <is>
          <t>Philadelphia Mashaba</t>
        </is>
      </c>
      <c r="J125" s="1150" t="n">
        <v>3000</v>
      </c>
    </row>
    <row r="126">
      <c r="A126" s="1134" t="n">
        <v>123</v>
      </c>
      <c r="B126" s="1135" t="inlineStr">
        <is>
          <t>Victoria Mandlovu Mkhonza</t>
        </is>
      </c>
      <c r="C126" s="1134" t="inlineStr">
        <is>
          <t>Tranche 9</t>
        </is>
      </c>
      <c r="D126" s="1147" t="n">
        <v>46038</v>
      </c>
      <c r="E126" s="1147" t="n">
        <v>46108</v>
      </c>
      <c r="F126" s="1134" t="n"/>
      <c r="G126" s="1134" t="inlineStr">
        <is>
          <t>Not started</t>
        </is>
      </c>
      <c r="H126" s="1143" t="inlineStr">
        <is>
          <t>Pending</t>
        </is>
      </c>
      <c r="I126" s="1148" t="inlineStr">
        <is>
          <t>—</t>
        </is>
      </c>
      <c r="J126" s="1149" t="n">
        <v>0</v>
      </c>
    </row>
    <row r="127">
      <c r="A127" s="1145" t="inlineStr"/>
    </row>
    <row r="128">
      <c r="A128" s="1156" t="inlineStr">
        <is>
          <t>UNMATCHED — Caregivers billing through TCH but not in Tuniti training pipeline</t>
        </is>
      </c>
    </row>
    <row r="129">
      <c r="A129" s="1157" t="inlineStr">
        <is>
          <t>#</t>
        </is>
      </c>
      <c r="B129" s="1157" t="inlineStr">
        <is>
          <t>Caregiver Name</t>
        </is>
      </c>
      <c r="C129" s="1157" t="inlineStr">
        <is>
          <t>Tranche</t>
        </is>
      </c>
      <c r="D129" s="1157" t="inlineStr">
        <is>
          <t>Course Start</t>
        </is>
      </c>
      <c r="E129" s="1157" t="inlineStr">
        <is>
          <t>Available From</t>
        </is>
      </c>
      <c r="F129" s="1157" t="inlineStr">
        <is>
          <t>Avg Score</t>
        </is>
      </c>
      <c r="G129" s="1157" t="inlineStr">
        <is>
          <t>Practical Status</t>
        </is>
      </c>
      <c r="H129" s="1157" t="inlineStr">
        <is>
          <t>Qualified</t>
        </is>
      </c>
      <c r="I129" s="1157" t="inlineStr">
        <is>
          <t>Matched Name (Billing)</t>
        </is>
      </c>
      <c r="J129" s="1157" t="inlineStr">
        <is>
          <t>Total Billed (ZAR)</t>
        </is>
      </c>
    </row>
    <row r="130">
      <c r="A130" s="1134" t="n">
        <v>124</v>
      </c>
      <c r="B130" s="1135" t="inlineStr">
        <is>
          <t>Adaobi Ejikeme</t>
        </is>
      </c>
      <c r="C130" s="1158" t="inlineStr">
        <is>
          <t>Tranche N/K</t>
        </is>
      </c>
      <c r="D130" s="1159" t="inlineStr">
        <is>
          <t>N/A</t>
        </is>
      </c>
      <c r="E130" s="1159" t="inlineStr">
        <is>
          <t>N/A</t>
        </is>
      </c>
      <c r="F130" s="1159" t="inlineStr">
        <is>
          <t>N/A</t>
        </is>
      </c>
      <c r="G130" s="1159" t="inlineStr">
        <is>
          <t>N/A</t>
        </is>
      </c>
      <c r="H130" s="1159" t="inlineStr">
        <is>
          <t>N/A</t>
        </is>
      </c>
      <c r="I130" s="1135" t="inlineStr">
        <is>
          <t>Adaobi Ejikeme</t>
        </is>
      </c>
      <c r="J130" s="1160" t="n">
        <v>30600</v>
      </c>
    </row>
    <row r="131">
      <c r="A131" s="1134" t="n">
        <v>125</v>
      </c>
      <c r="B131" s="1135" t="inlineStr">
        <is>
          <t>Annika Van Rensburg</t>
        </is>
      </c>
      <c r="C131" s="1158" t="inlineStr">
        <is>
          <t>Tranche N/K</t>
        </is>
      </c>
      <c r="D131" s="1159" t="inlineStr">
        <is>
          <t>N/A</t>
        </is>
      </c>
      <c r="E131" s="1159" t="inlineStr">
        <is>
          <t>N/A</t>
        </is>
      </c>
      <c r="F131" s="1159" t="inlineStr">
        <is>
          <t>N/A</t>
        </is>
      </c>
      <c r="G131" s="1159" t="inlineStr">
        <is>
          <t>N/A</t>
        </is>
      </c>
      <c r="H131" s="1159" t="inlineStr">
        <is>
          <t>N/A</t>
        </is>
      </c>
      <c r="I131" s="1135" t="inlineStr">
        <is>
          <t>Annika Van Rensburg</t>
        </is>
      </c>
      <c r="J131" s="1160" t="n">
        <v>9170</v>
      </c>
    </row>
    <row r="132">
      <c r="A132" s="1134" t="n">
        <v>126</v>
      </c>
      <c r="B132" s="1135" t="inlineStr">
        <is>
          <t>Christina Maluleka</t>
        </is>
      </c>
      <c r="C132" s="1158" t="inlineStr">
        <is>
          <t>Tranche N/K</t>
        </is>
      </c>
      <c r="D132" s="1159" t="inlineStr">
        <is>
          <t>N/A</t>
        </is>
      </c>
      <c r="E132" s="1159" t="inlineStr">
        <is>
          <t>N/A</t>
        </is>
      </c>
      <c r="F132" s="1159" t="inlineStr">
        <is>
          <t>N/A</t>
        </is>
      </c>
      <c r="G132" s="1159" t="inlineStr">
        <is>
          <t>N/A</t>
        </is>
      </c>
      <c r="H132" s="1159" t="inlineStr">
        <is>
          <t>N/A</t>
        </is>
      </c>
      <c r="I132" s="1135" t="inlineStr">
        <is>
          <t>Christina Maluleka</t>
        </is>
      </c>
      <c r="J132" s="1160" t="n">
        <v>49050</v>
      </c>
    </row>
    <row r="133">
      <c r="A133" s="1134" t="n">
        <v>127</v>
      </c>
      <c r="B133" s="1135" t="inlineStr">
        <is>
          <t>Cynthia Makondo</t>
        </is>
      </c>
      <c r="C133" s="1158" t="inlineStr">
        <is>
          <t>Tranche N/K</t>
        </is>
      </c>
      <c r="D133" s="1159" t="inlineStr">
        <is>
          <t>N/A</t>
        </is>
      </c>
      <c r="E133" s="1159" t="inlineStr">
        <is>
          <t>N/A</t>
        </is>
      </c>
      <c r="F133" s="1159" t="inlineStr">
        <is>
          <t>N/A</t>
        </is>
      </c>
      <c r="G133" s="1159" t="inlineStr">
        <is>
          <t>N/A</t>
        </is>
      </c>
      <c r="H133" s="1159" t="inlineStr">
        <is>
          <t>N/A</t>
        </is>
      </c>
      <c r="I133" s="1135" t="inlineStr">
        <is>
          <t>Cynthia Makondo</t>
        </is>
      </c>
      <c r="J133" s="1160" t="n">
        <v>30800</v>
      </c>
    </row>
    <row r="134">
      <c r="A134" s="1134" t="n">
        <v>128</v>
      </c>
      <c r="B134" s="1135" t="inlineStr">
        <is>
          <t>Dolly Chauke</t>
        </is>
      </c>
      <c r="C134" s="1158" t="inlineStr">
        <is>
          <t>Tranche N/K</t>
        </is>
      </c>
      <c r="D134" s="1159" t="inlineStr">
        <is>
          <t>N/A</t>
        </is>
      </c>
      <c r="E134" s="1159" t="inlineStr">
        <is>
          <t>N/A</t>
        </is>
      </c>
      <c r="F134" s="1159" t="inlineStr">
        <is>
          <t>N/A</t>
        </is>
      </c>
      <c r="G134" s="1159" t="inlineStr">
        <is>
          <t>N/A</t>
        </is>
      </c>
      <c r="H134" s="1159" t="inlineStr">
        <is>
          <t>N/A</t>
        </is>
      </c>
      <c r="I134" s="1135" t="inlineStr">
        <is>
          <t>Dolly Chauke</t>
        </is>
      </c>
      <c r="J134" s="1160" t="n">
        <v>3000</v>
      </c>
    </row>
    <row r="135">
      <c r="A135" s="1134" t="n">
        <v>129</v>
      </c>
      <c r="B135" s="1135" t="inlineStr">
        <is>
          <t>Emiia Mshaba</t>
        </is>
      </c>
      <c r="C135" s="1158" t="inlineStr">
        <is>
          <t>Tranche N/K</t>
        </is>
      </c>
      <c r="D135" s="1159" t="inlineStr">
        <is>
          <t>N/A</t>
        </is>
      </c>
      <c r="E135" s="1159" t="inlineStr">
        <is>
          <t>N/A</t>
        </is>
      </c>
      <c r="F135" s="1159" t="inlineStr">
        <is>
          <t>N/A</t>
        </is>
      </c>
      <c r="G135" s="1159" t="inlineStr">
        <is>
          <t>N/A</t>
        </is>
      </c>
      <c r="H135" s="1159" t="inlineStr">
        <is>
          <t>N/A</t>
        </is>
      </c>
      <c r="I135" s="1135" t="inlineStr">
        <is>
          <t>Emiia Mshaba</t>
        </is>
      </c>
      <c r="J135" s="1160" t="n">
        <v>9850</v>
      </c>
    </row>
    <row r="136">
      <c r="A136" s="1134" t="n">
        <v>130</v>
      </c>
      <c r="B136" s="1135" t="inlineStr">
        <is>
          <t>Emily Mentula</t>
        </is>
      </c>
      <c r="C136" s="1158" t="inlineStr">
        <is>
          <t>Tranche N/K</t>
        </is>
      </c>
      <c r="D136" s="1159" t="inlineStr">
        <is>
          <t>N/A</t>
        </is>
      </c>
      <c r="E136" s="1159" t="inlineStr">
        <is>
          <t>N/A</t>
        </is>
      </c>
      <c r="F136" s="1159" t="inlineStr">
        <is>
          <t>N/A</t>
        </is>
      </c>
      <c r="G136" s="1159" t="inlineStr">
        <is>
          <t>N/A</t>
        </is>
      </c>
      <c r="H136" s="1159" t="inlineStr">
        <is>
          <t>N/A</t>
        </is>
      </c>
      <c r="I136" s="1135" t="inlineStr">
        <is>
          <t>Emily Mentula</t>
        </is>
      </c>
      <c r="J136" s="1160" t="n">
        <v>38060</v>
      </c>
    </row>
    <row r="137">
      <c r="A137" s="1134" t="n">
        <v>131</v>
      </c>
      <c r="B137" s="1135" t="inlineStr">
        <is>
          <t>Joyce Mutambiranwa</t>
        </is>
      </c>
      <c r="C137" s="1158" t="inlineStr">
        <is>
          <t>Tranche N/K</t>
        </is>
      </c>
      <c r="D137" s="1159" t="inlineStr">
        <is>
          <t>N/A</t>
        </is>
      </c>
      <c r="E137" s="1159" t="inlineStr">
        <is>
          <t>N/A</t>
        </is>
      </c>
      <c r="F137" s="1159" t="inlineStr">
        <is>
          <t>N/A</t>
        </is>
      </c>
      <c r="G137" s="1159" t="inlineStr">
        <is>
          <t>N/A</t>
        </is>
      </c>
      <c r="H137" s="1159" t="inlineStr">
        <is>
          <t>N/A</t>
        </is>
      </c>
      <c r="I137" s="1135" t="inlineStr">
        <is>
          <t>Joyce Mutambiranwa</t>
        </is>
      </c>
      <c r="J137" s="1160" t="n">
        <v>36800</v>
      </c>
    </row>
    <row r="138">
      <c r="A138" s="1134" t="n">
        <v>132</v>
      </c>
      <c r="B138" s="1135" t="inlineStr">
        <is>
          <t>Linda Rapuluchukwa</t>
        </is>
      </c>
      <c r="C138" s="1158" t="inlineStr">
        <is>
          <t>Tranche N/K</t>
        </is>
      </c>
      <c r="D138" s="1159" t="inlineStr">
        <is>
          <t>N/A</t>
        </is>
      </c>
      <c r="E138" s="1159" t="inlineStr">
        <is>
          <t>N/A</t>
        </is>
      </c>
      <c r="F138" s="1159" t="inlineStr">
        <is>
          <t>N/A</t>
        </is>
      </c>
      <c r="G138" s="1159" t="inlineStr">
        <is>
          <t>N/A</t>
        </is>
      </c>
      <c r="H138" s="1159" t="inlineStr">
        <is>
          <t>N/A</t>
        </is>
      </c>
      <c r="I138" s="1135" t="inlineStr">
        <is>
          <t>Linda Rapuluchukwa</t>
        </is>
      </c>
      <c r="J138" s="1160" t="n">
        <v>50700</v>
      </c>
    </row>
    <row r="139">
      <c r="A139" s="1134" t="n">
        <v>133</v>
      </c>
      <c r="B139" s="1135" t="inlineStr">
        <is>
          <t>Martha Mashishi</t>
        </is>
      </c>
      <c r="C139" s="1158" t="inlineStr">
        <is>
          <t>Tranche N/K</t>
        </is>
      </c>
      <c r="D139" s="1159" t="inlineStr">
        <is>
          <t>N/A</t>
        </is>
      </c>
      <c r="E139" s="1159" t="inlineStr">
        <is>
          <t>N/A</t>
        </is>
      </c>
      <c r="F139" s="1159" t="inlineStr">
        <is>
          <t>N/A</t>
        </is>
      </c>
      <c r="G139" s="1159" t="inlineStr">
        <is>
          <t>N/A</t>
        </is>
      </c>
      <c r="H139" s="1159" t="inlineStr">
        <is>
          <t>N/A</t>
        </is>
      </c>
      <c r="I139" s="1135" t="inlineStr">
        <is>
          <t>Martha Mashishi</t>
        </is>
      </c>
      <c r="J139" s="1160" t="n">
        <v>450</v>
      </c>
    </row>
    <row r="140">
      <c r="A140" s="1134" t="n">
        <v>134</v>
      </c>
      <c r="B140" s="1135" t="inlineStr">
        <is>
          <t>Mbali Ndaba</t>
        </is>
      </c>
      <c r="C140" s="1158" t="inlineStr">
        <is>
          <t>Tranche N/K</t>
        </is>
      </c>
      <c r="D140" s="1159" t="inlineStr">
        <is>
          <t>N/A</t>
        </is>
      </c>
      <c r="E140" s="1159" t="inlineStr">
        <is>
          <t>N/A</t>
        </is>
      </c>
      <c r="F140" s="1159" t="inlineStr">
        <is>
          <t>N/A</t>
        </is>
      </c>
      <c r="G140" s="1159" t="inlineStr">
        <is>
          <t>N/A</t>
        </is>
      </c>
      <c r="H140" s="1159" t="inlineStr">
        <is>
          <t>N/A</t>
        </is>
      </c>
      <c r="I140" s="1135" t="inlineStr">
        <is>
          <t>Mbali Ndaba</t>
        </is>
      </c>
      <c r="J140" s="1160" t="n">
        <v>7150</v>
      </c>
    </row>
    <row r="141">
      <c r="A141" s="1134" t="n">
        <v>135</v>
      </c>
      <c r="B141" s="1135" t="inlineStr">
        <is>
          <t>Monique Bosch</t>
        </is>
      </c>
      <c r="C141" s="1158" t="inlineStr">
        <is>
          <t>Tranche N/K</t>
        </is>
      </c>
      <c r="D141" s="1159" t="inlineStr">
        <is>
          <t>N/A</t>
        </is>
      </c>
      <c r="E141" s="1159" t="inlineStr">
        <is>
          <t>N/A</t>
        </is>
      </c>
      <c r="F141" s="1159" t="inlineStr">
        <is>
          <t>N/A</t>
        </is>
      </c>
      <c r="G141" s="1159" t="inlineStr">
        <is>
          <t>N/A</t>
        </is>
      </c>
      <c r="H141" s="1159" t="inlineStr">
        <is>
          <t>N/A</t>
        </is>
      </c>
      <c r="I141" s="1135" t="inlineStr">
        <is>
          <t>Monique Bosch</t>
        </is>
      </c>
      <c r="J141" s="1160" t="n">
        <v>2547</v>
      </c>
    </row>
    <row r="142">
      <c r="A142" s="1134" t="n">
        <v>136</v>
      </c>
      <c r="B142" s="1135" t="inlineStr">
        <is>
          <t>Musa Zulu</t>
        </is>
      </c>
      <c r="C142" s="1158" t="inlineStr">
        <is>
          <t>Tranche N/K</t>
        </is>
      </c>
      <c r="D142" s="1159" t="inlineStr">
        <is>
          <t>N/A</t>
        </is>
      </c>
      <c r="E142" s="1159" t="inlineStr">
        <is>
          <t>N/A</t>
        </is>
      </c>
      <c r="F142" s="1159" t="inlineStr">
        <is>
          <t>N/A</t>
        </is>
      </c>
      <c r="G142" s="1159" t="inlineStr">
        <is>
          <t>N/A</t>
        </is>
      </c>
      <c r="H142" s="1159" t="inlineStr">
        <is>
          <t>N/A</t>
        </is>
      </c>
      <c r="I142" s="1135" t="inlineStr">
        <is>
          <t>Musa Zulu</t>
        </is>
      </c>
      <c r="J142" s="1160" t="n">
        <v>13000</v>
      </c>
    </row>
    <row r="143">
      <c r="A143" s="1134" t="n">
        <v>137</v>
      </c>
      <c r="B143" s="1135" t="inlineStr">
        <is>
          <t>Mzee Mzwakhe</t>
        </is>
      </c>
      <c r="C143" s="1158" t="inlineStr">
        <is>
          <t>Tranche N/K</t>
        </is>
      </c>
      <c r="D143" s="1159" t="inlineStr">
        <is>
          <t>N/A</t>
        </is>
      </c>
      <c r="E143" s="1159" t="inlineStr">
        <is>
          <t>N/A</t>
        </is>
      </c>
      <c r="F143" s="1159" t="inlineStr">
        <is>
          <t>N/A</t>
        </is>
      </c>
      <c r="G143" s="1159" t="inlineStr">
        <is>
          <t>N/A</t>
        </is>
      </c>
      <c r="H143" s="1159" t="inlineStr">
        <is>
          <t>N/A</t>
        </is>
      </c>
      <c r="I143" s="1135" t="inlineStr">
        <is>
          <t>Mzee Mzwakhe</t>
        </is>
      </c>
      <c r="J143" s="1160" t="n">
        <v>15850</v>
      </c>
    </row>
    <row r="144">
      <c r="A144" s="1134" t="n">
        <v>138</v>
      </c>
      <c r="B144" s="1135" t="inlineStr">
        <is>
          <t>Ruth Nnadi</t>
        </is>
      </c>
      <c r="C144" s="1158" t="inlineStr">
        <is>
          <t>Tranche N/K</t>
        </is>
      </c>
      <c r="D144" s="1159" t="inlineStr">
        <is>
          <t>N/A</t>
        </is>
      </c>
      <c r="E144" s="1159" t="inlineStr">
        <is>
          <t>N/A</t>
        </is>
      </c>
      <c r="F144" s="1159" t="inlineStr">
        <is>
          <t>N/A</t>
        </is>
      </c>
      <c r="G144" s="1159" t="inlineStr">
        <is>
          <t>N/A</t>
        </is>
      </c>
      <c r="H144" s="1159" t="inlineStr">
        <is>
          <t>N/A</t>
        </is>
      </c>
      <c r="I144" s="1135" t="inlineStr">
        <is>
          <t>Ruth Nnadi</t>
        </is>
      </c>
      <c r="J144" s="1160" t="n">
        <v>26000</v>
      </c>
    </row>
    <row r="145">
      <c r="A145" s="1134" t="n">
        <v>139</v>
      </c>
      <c r="B145" s="1135" t="inlineStr">
        <is>
          <t>Sophie Koga</t>
        </is>
      </c>
      <c r="C145" s="1158" t="inlineStr">
        <is>
          <t>Tranche N/K</t>
        </is>
      </c>
      <c r="D145" s="1159" t="inlineStr">
        <is>
          <t>N/A</t>
        </is>
      </c>
      <c r="E145" s="1159" t="inlineStr">
        <is>
          <t>N/A</t>
        </is>
      </c>
      <c r="F145" s="1159" t="inlineStr">
        <is>
          <t>N/A</t>
        </is>
      </c>
      <c r="G145" s="1159" t="inlineStr">
        <is>
          <t>N/A</t>
        </is>
      </c>
      <c r="H145" s="1159" t="inlineStr">
        <is>
          <t>N/A</t>
        </is>
      </c>
      <c r="I145" s="1135" t="inlineStr">
        <is>
          <t>Sophie Koga</t>
        </is>
      </c>
      <c r="J145" s="1160" t="n">
        <v>40600</v>
      </c>
    </row>
    <row r="146">
      <c r="A146" s="1134" t="n">
        <v>140</v>
      </c>
      <c r="B146" s="1135" t="inlineStr">
        <is>
          <t>Sylvia Nene</t>
        </is>
      </c>
      <c r="C146" s="1158" t="inlineStr">
        <is>
          <t>Tranche N/K</t>
        </is>
      </c>
      <c r="D146" s="1159" t="inlineStr">
        <is>
          <t>N/A</t>
        </is>
      </c>
      <c r="E146" s="1159" t="inlineStr">
        <is>
          <t>N/A</t>
        </is>
      </c>
      <c r="F146" s="1159" t="inlineStr">
        <is>
          <t>N/A</t>
        </is>
      </c>
      <c r="G146" s="1159" t="inlineStr">
        <is>
          <t>N/A</t>
        </is>
      </c>
      <c r="H146" s="1159" t="inlineStr">
        <is>
          <t>N/A</t>
        </is>
      </c>
      <c r="I146" s="1135" t="inlineStr">
        <is>
          <t>Sylvia Nene</t>
        </is>
      </c>
      <c r="J146" s="1160" t="n">
        <v>26535</v>
      </c>
    </row>
    <row r="149">
      <c r="A149" s="1144" t="inlineStr">
        <is>
          <t>SUMMARY</t>
        </is>
      </c>
    </row>
    <row r="150">
      <c r="B150" s="1145" t="inlineStr">
        <is>
          <t>Tuniti-trained caregivers (Tranches 1–9)</t>
        </is>
      </c>
      <c r="D150" s="1161" t="n">
        <v>123</v>
      </c>
    </row>
    <row r="151">
      <c r="B151" s="1145" t="inlineStr">
        <is>
          <t xml:space="preserve">  — Fully qualified (288 hrs completed)</t>
        </is>
      </c>
      <c r="D151" s="1161" t="n">
        <v>39</v>
      </c>
    </row>
    <row r="152">
      <c r="B152" s="1145" t="inlineStr">
        <is>
          <t xml:space="preserve">  — Practicals still busy</t>
        </is>
      </c>
      <c r="D152" s="1161" t="n">
        <v>25</v>
      </c>
    </row>
    <row r="153">
      <c r="B153" s="1145" t="inlineStr">
        <is>
          <t xml:space="preserve">  — Practicals not started</t>
        </is>
      </c>
      <c r="D153" s="1161" t="n">
        <v>38</v>
      </c>
    </row>
    <row r="154">
      <c r="B154" s="1145" t="inlineStr">
        <is>
          <t>Tuniti-trained actively billing through TCH</t>
        </is>
      </c>
      <c r="D154" s="1161" t="n">
        <v>25</v>
      </c>
    </row>
    <row r="155">
      <c r="B155" s="1145" t="inlineStr">
        <is>
          <t xml:space="preserve">  — Total billed by matched caregivers</t>
        </is>
      </c>
      <c r="D155" s="1161" t="inlineStr">
        <is>
          <t>R 319,458</t>
        </is>
      </c>
    </row>
    <row r="156">
      <c r="B156" s="1145" t="inlineStr"/>
      <c r="D156" s="1161" t="inlineStr"/>
    </row>
    <row r="157">
      <c r="B157" s="1145" t="inlineStr">
        <is>
          <t>Non-Tuniti caregivers billing (Tranche N/K)</t>
        </is>
      </c>
      <c r="D157" s="1161" t="n">
        <v>17</v>
      </c>
    </row>
    <row r="158">
      <c r="B158" s="1145" t="inlineStr">
        <is>
          <t xml:space="preserve">  — Total billed by non-Tuniti caregivers</t>
        </is>
      </c>
      <c r="D158" s="1161" t="inlineStr">
        <is>
          <t>R 390,162</t>
        </is>
      </c>
    </row>
    <row r="159">
      <c r="B159" s="1145" t="inlineStr"/>
      <c r="D159" s="1161" t="inlineStr"/>
    </row>
    <row r="160">
      <c r="B160" s="1145" t="inlineStr">
        <is>
          <t>Total caregivers in system</t>
        </is>
      </c>
      <c r="D160" s="1161" t="n">
        <v>140</v>
      </c>
    </row>
    <row r="161">
      <c r="B161" s="1145" t="inlineStr">
        <is>
          <t>Total billed (all caregivers)</t>
        </is>
      </c>
      <c r="D161" s="1161" t="inlineStr">
        <is>
          <t>R 709,620</t>
        </is>
      </c>
    </row>
  </sheetData>
  <mergeCells count="2">
    <mergeCell ref="A128:J12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5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4921875" defaultRowHeight="15" customHeight="0" zeroHeight="0" outlineLevelRow="0"/>
  <cols>
    <col width="38" customWidth="1" style="561" min="1" max="1"/>
    <col width="14" customWidth="1" style="561" min="2" max="8"/>
  </cols>
  <sheetData>
    <row r="1" ht="17.35" customHeight="1" s="562">
      <c r="A1" s="563" t="inlineStr">
        <is>
          <t>TCH Holdings – Client Income Summary (ZAR)</t>
        </is>
      </c>
      <c r="B1" s="564" t="n"/>
      <c r="C1" s="564" t="n"/>
      <c r="D1" s="564" t="n"/>
      <c r="E1" s="564" t="n"/>
      <c r="F1" s="564" t="n"/>
      <c r="G1" s="564" t="n"/>
      <c r="H1" s="565" t="n"/>
    </row>
    <row r="3" ht="15" customHeight="1" s="562">
      <c r="A3" s="566" t="inlineStr">
        <is>
          <t>Client</t>
        </is>
      </c>
      <c r="B3" s="566" t="inlineStr">
        <is>
          <t>Nov 2025</t>
        </is>
      </c>
      <c r="C3" s="566" t="inlineStr">
        <is>
          <t>Dec 2025</t>
        </is>
      </c>
      <c r="D3" s="566" t="inlineStr">
        <is>
          <t>Jan 2026</t>
        </is>
      </c>
      <c r="E3" s="566" t="inlineStr">
        <is>
          <t>Feb 2026</t>
        </is>
      </c>
      <c r="F3" s="566" t="inlineStr">
        <is>
          <t>Mar 2026</t>
        </is>
      </c>
      <c r="G3" s="566" t="inlineStr">
        <is>
          <t>Apr 2026</t>
        </is>
      </c>
      <c r="H3" s="566" t="inlineStr">
        <is>
          <t>Total</t>
        </is>
      </c>
    </row>
    <row r="4" ht="15" customHeight="1" s="562">
      <c r="A4" s="567" t="inlineStr">
        <is>
          <t>Johnstons</t>
        </is>
      </c>
      <c r="B4" s="1131" t="n">
        <v>24000</v>
      </c>
      <c r="C4" s="1131" t="n">
        <v>24800</v>
      </c>
      <c r="D4" s="1131" t="n">
        <v>23250</v>
      </c>
      <c r="E4" s="1131" t="n">
        <v>21000</v>
      </c>
      <c r="F4" s="1131" t="n">
        <v>24800</v>
      </c>
      <c r="G4" s="1131" t="n">
        <v>16500</v>
      </c>
      <c r="H4" s="569">
        <f>SUM(B4:G4)</f>
        <v/>
      </c>
    </row>
    <row r="5" ht="15" customHeight="1" s="562">
      <c r="A5" s="567" t="inlineStr">
        <is>
          <t>Van Der Linde</t>
        </is>
      </c>
      <c r="B5" s="1131" t="n">
        <v>22200</v>
      </c>
      <c r="C5" s="1131" t="n">
        <v>22200</v>
      </c>
      <c r="D5" s="1131" t="n">
        <v>22200</v>
      </c>
      <c r="E5" s="1131" t="n">
        <v>22200</v>
      </c>
      <c r="F5" s="1131" t="n">
        <v>22200</v>
      </c>
      <c r="G5" s="570" t="n">
        <v>0</v>
      </c>
      <c r="H5" s="569">
        <f>SUM(B5:G5)</f>
        <v/>
      </c>
    </row>
    <row r="6" ht="15" customHeight="1" s="562">
      <c r="A6" s="567" t="inlineStr">
        <is>
          <t>Hennie</t>
        </is>
      </c>
      <c r="B6" s="1131" t="n">
        <v>18600</v>
      </c>
      <c r="C6" s="1131" t="n">
        <v>4650</v>
      </c>
      <c r="D6" s="570" t="n">
        <v>0</v>
      </c>
      <c r="E6" s="570" t="n">
        <v>0</v>
      </c>
      <c r="F6" s="570" t="n">
        <v>0</v>
      </c>
      <c r="G6" s="570" t="n">
        <v>0</v>
      </c>
      <c r="H6" s="569">
        <f>SUM(B6:G6)</f>
        <v/>
      </c>
    </row>
    <row r="7" ht="15" customHeight="1" s="562">
      <c r="A7" s="567" t="inlineStr">
        <is>
          <t>John Bierman</t>
        </is>
      </c>
      <c r="B7" s="1131" t="n">
        <v>16000</v>
      </c>
      <c r="C7" s="1131" t="n">
        <v>18400</v>
      </c>
      <c r="D7" s="1131" t="n">
        <v>17600</v>
      </c>
      <c r="E7" s="1131" t="n">
        <v>16000</v>
      </c>
      <c r="F7" s="1131" t="n">
        <v>17000</v>
      </c>
      <c r="G7" s="1131" t="n">
        <v>17600</v>
      </c>
      <c r="H7" s="569">
        <f>SUM(B7:G7)</f>
        <v/>
      </c>
    </row>
    <row r="8" ht="15" customHeight="1" s="562">
      <c r="A8" s="567" t="inlineStr">
        <is>
          <t>Hillery</t>
        </is>
      </c>
      <c r="B8" s="1131" t="n">
        <v>3800</v>
      </c>
      <c r="C8" s="1131" t="n">
        <v>2850</v>
      </c>
      <c r="D8" s="570" t="n">
        <v>0</v>
      </c>
      <c r="E8" s="570" t="n">
        <v>0</v>
      </c>
      <c r="F8" s="570" t="n">
        <v>0</v>
      </c>
      <c r="G8" s="570" t="n">
        <v>0</v>
      </c>
      <c r="H8" s="569">
        <f>SUM(B8:G8)</f>
        <v/>
      </c>
    </row>
    <row r="9" ht="15" customHeight="1" s="562">
      <c r="A9" s="567" t="inlineStr">
        <is>
          <t>Van Vuuren</t>
        </is>
      </c>
      <c r="B9" s="1131" t="n">
        <v>23200</v>
      </c>
      <c r="C9" s="570" t="n">
        <v>0</v>
      </c>
      <c r="D9" s="570" t="n">
        <v>0</v>
      </c>
      <c r="E9" s="570" t="n">
        <v>0</v>
      </c>
      <c r="F9" s="570" t="n">
        <v>0</v>
      </c>
      <c r="G9" s="570" t="n">
        <v>0</v>
      </c>
      <c r="H9" s="569">
        <f>SUM(B9:G9)</f>
        <v/>
      </c>
    </row>
    <row r="10" ht="15" customHeight="1" s="562">
      <c r="A10" s="567" t="inlineStr">
        <is>
          <t>Trevor Botes</t>
        </is>
      </c>
      <c r="B10" s="1131" t="n">
        <v>15000</v>
      </c>
      <c r="C10" s="1131" t="n">
        <v>16500</v>
      </c>
      <c r="D10" s="1131" t="n">
        <v>14250</v>
      </c>
      <c r="E10" s="1131" t="n">
        <v>13500</v>
      </c>
      <c r="F10" s="1131" t="n">
        <v>17250</v>
      </c>
      <c r="G10" s="1131" t="n">
        <v>16500</v>
      </c>
      <c r="H10" s="569">
        <f>SUM(B10:G10)</f>
        <v/>
      </c>
    </row>
    <row r="11" ht="15" customHeight="1" s="562">
      <c r="A11" s="567" t="inlineStr">
        <is>
          <t>Johann Roos</t>
        </is>
      </c>
      <c r="B11" s="1131" t="n">
        <v>14000</v>
      </c>
      <c r="C11" s="1131" t="n">
        <v>11900</v>
      </c>
      <c r="D11" s="1131" t="n">
        <v>0</v>
      </c>
      <c r="E11" s="570" t="n">
        <v>0</v>
      </c>
      <c r="F11" s="570" t="n">
        <v>0</v>
      </c>
      <c r="G11" s="570" t="n">
        <v>0</v>
      </c>
      <c r="H11" s="569">
        <f>SUM(B11:G11)</f>
        <v/>
      </c>
    </row>
    <row r="12" ht="15" customHeight="1" s="562">
      <c r="A12" s="567" t="inlineStr">
        <is>
          <t>Ishaan/Elizabth</t>
        </is>
      </c>
      <c r="B12" s="1131" t="n">
        <v>13300</v>
      </c>
      <c r="C12" s="570" t="n">
        <v>0</v>
      </c>
      <c r="D12" s="570" t="n">
        <v>0</v>
      </c>
      <c r="E12" s="570" t="n">
        <v>0</v>
      </c>
      <c r="F12" s="570" t="n">
        <v>0</v>
      </c>
      <c r="G12" s="570" t="n">
        <v>0</v>
      </c>
      <c r="H12" s="569">
        <f>SUM(B12:G12)</f>
        <v/>
      </c>
    </row>
    <row r="13" ht="15" customHeight="1" s="562">
      <c r="A13" s="567" t="inlineStr">
        <is>
          <t>Androilla/ Praxia</t>
        </is>
      </c>
      <c r="B13" s="1131" t="n">
        <v>21000</v>
      </c>
      <c r="C13" s="1131" t="n">
        <v>7500</v>
      </c>
      <c r="D13" s="570" t="n">
        <v>0</v>
      </c>
      <c r="E13" s="570" t="n">
        <v>0</v>
      </c>
      <c r="F13" s="570" t="n">
        <v>0</v>
      </c>
      <c r="G13" s="570" t="n">
        <v>0</v>
      </c>
      <c r="H13" s="569">
        <f>SUM(B13:G13)</f>
        <v/>
      </c>
    </row>
    <row r="14" ht="15" customHeight="1" s="562">
      <c r="A14" s="567" t="inlineStr">
        <is>
          <t>Jacomina/Charl</t>
        </is>
      </c>
      <c r="B14" s="1131" t="n">
        <v>3800</v>
      </c>
      <c r="C14" s="570" t="n">
        <v>0</v>
      </c>
      <c r="D14" s="570" t="n">
        <v>0</v>
      </c>
      <c r="E14" s="570" t="n">
        <v>0</v>
      </c>
      <c r="F14" s="570" t="n">
        <v>0</v>
      </c>
      <c r="G14" s="570" t="n">
        <v>0</v>
      </c>
      <c r="H14" s="569">
        <f>SUM(B14:G14)</f>
        <v/>
      </c>
    </row>
    <row r="15" ht="15" customHeight="1" s="562">
      <c r="A15" s="567" t="inlineStr">
        <is>
          <t>Herman/Rene</t>
        </is>
      </c>
      <c r="B15" s="1131" t="n">
        <v>4250</v>
      </c>
      <c r="C15" s="570" t="n">
        <v>0</v>
      </c>
      <c r="D15" s="570" t="n">
        <v>0</v>
      </c>
      <c r="E15" s="570" t="n">
        <v>0</v>
      </c>
      <c r="F15" s="570" t="n">
        <v>0</v>
      </c>
      <c r="G15" s="570" t="n">
        <v>0</v>
      </c>
      <c r="H15" s="569">
        <f>SUM(B15:G15)</f>
        <v/>
      </c>
    </row>
    <row r="16" ht="15" customHeight="1" s="562">
      <c r="A16" s="567" t="inlineStr">
        <is>
          <t>Lorraine Hatton</t>
        </is>
      </c>
      <c r="B16" s="1131" t="n">
        <v>1700</v>
      </c>
      <c r="C16" s="570" t="n">
        <v>0</v>
      </c>
      <c r="D16" s="570" t="n">
        <v>0</v>
      </c>
      <c r="E16" s="570" t="n">
        <v>0</v>
      </c>
      <c r="F16" s="570" t="n">
        <v>0</v>
      </c>
      <c r="G16" s="570" t="n">
        <v>0</v>
      </c>
      <c r="H16" s="569">
        <f>SUM(B16:G16)</f>
        <v/>
      </c>
    </row>
    <row r="17" ht="15" customHeight="1" s="562">
      <c r="A17" s="567" t="inlineStr">
        <is>
          <t>Johanna Van Heerden</t>
        </is>
      </c>
      <c r="B17" s="1131" t="n">
        <v>4500</v>
      </c>
      <c r="C17" s="1131" t="n">
        <v>23250</v>
      </c>
      <c r="D17" s="1131" t="n">
        <v>23250</v>
      </c>
      <c r="E17" s="1131" t="n">
        <v>23250</v>
      </c>
      <c r="F17" s="1131" t="n">
        <v>23250</v>
      </c>
      <c r="G17" s="1131" t="n">
        <v>23250</v>
      </c>
      <c r="H17" s="569">
        <f>SUM(B17:G17)</f>
        <v/>
      </c>
    </row>
    <row r="18" ht="15" customHeight="1" s="562">
      <c r="A18" s="567" t="inlineStr">
        <is>
          <t>Dirk Le Roux</t>
        </is>
      </c>
      <c r="B18" s="1131" t="n">
        <v>3000</v>
      </c>
      <c r="C18" s="1131" t="n">
        <v>10850</v>
      </c>
      <c r="D18" s="1131" t="n">
        <v>3750</v>
      </c>
      <c r="E18" s="1131" t="n">
        <v>3000</v>
      </c>
      <c r="F18" s="1131" t="n">
        <v>3000</v>
      </c>
      <c r="G18" s="1131" t="n">
        <v>3750</v>
      </c>
      <c r="H18" s="569">
        <f>SUM(B18:G18)</f>
        <v/>
      </c>
    </row>
    <row r="19" ht="15" customHeight="1" s="562">
      <c r="A19" s="567" t="inlineStr">
        <is>
          <t>Mia Rus</t>
        </is>
      </c>
      <c r="B19" s="1131" t="n">
        <v>12800</v>
      </c>
      <c r="C19" s="1131" t="n">
        <v>9387</v>
      </c>
      <c r="D19" s="1131" t="n">
        <v>11900</v>
      </c>
      <c r="E19" s="570" t="n">
        <v>0</v>
      </c>
      <c r="F19" s="570" t="n">
        <v>0</v>
      </c>
      <c r="G19" s="570" t="n">
        <v>0</v>
      </c>
      <c r="H19" s="569">
        <f>SUM(B19:G19)</f>
        <v/>
      </c>
    </row>
    <row r="20" ht="15" customHeight="1" s="562">
      <c r="A20" s="567" t="inlineStr">
        <is>
          <t>Julian Sam</t>
        </is>
      </c>
      <c r="B20" s="570" t="n">
        <v>0</v>
      </c>
      <c r="C20" s="1131" t="n">
        <v>15250</v>
      </c>
      <c r="D20" s="1131" t="n">
        <v>10180</v>
      </c>
      <c r="E20" s="1131" t="n">
        <v>4072</v>
      </c>
      <c r="F20" s="570" t="n">
        <v>0</v>
      </c>
      <c r="G20" s="570" t="n">
        <v>0</v>
      </c>
      <c r="H20" s="569">
        <f>SUM(B20:G20)</f>
        <v/>
      </c>
    </row>
    <row r="21" ht="15" customHeight="1" s="562">
      <c r="A21" s="567" t="inlineStr">
        <is>
          <t>Lucy</t>
        </is>
      </c>
      <c r="B21" s="570" t="n">
        <v>0</v>
      </c>
      <c r="C21" s="1131" t="n">
        <v>5250</v>
      </c>
      <c r="D21" s="570" t="n">
        <v>0</v>
      </c>
      <c r="E21" s="570" t="n">
        <v>0</v>
      </c>
      <c r="F21" s="570" t="n">
        <v>0</v>
      </c>
      <c r="G21" s="570" t="n">
        <v>0</v>
      </c>
      <c r="H21" s="569">
        <f>SUM(B21:G21)</f>
        <v/>
      </c>
    </row>
    <row r="22" ht="15" customHeight="1" s="562">
      <c r="A22" s="567" t="inlineStr">
        <is>
          <t>Andre Theron</t>
        </is>
      </c>
      <c r="B22" s="570" t="n">
        <v>0</v>
      </c>
      <c r="C22" s="1131" t="n">
        <v>15950</v>
      </c>
      <c r="D22" s="1131" t="n">
        <v>18200</v>
      </c>
      <c r="E22" s="1131" t="n">
        <v>18450</v>
      </c>
      <c r="F22" s="1131" t="n">
        <v>24000</v>
      </c>
      <c r="G22" s="570" t="n">
        <v>0</v>
      </c>
      <c r="H22" s="569">
        <f>SUM(B22:G22)</f>
        <v/>
      </c>
    </row>
    <row r="23" ht="15" customHeight="1" s="562">
      <c r="A23" s="567" t="inlineStr">
        <is>
          <t>Angela/ Dimitri Paoadopoulos</t>
        </is>
      </c>
      <c r="B23" s="570" t="n">
        <v>0</v>
      </c>
      <c r="C23" s="1131" t="n">
        <v>13300</v>
      </c>
      <c r="D23" s="1131" t="n">
        <v>33250</v>
      </c>
      <c r="E23" s="1131" t="n">
        <v>26600</v>
      </c>
      <c r="F23" s="1131" t="n">
        <v>26600</v>
      </c>
      <c r="G23" s="1131" t="n">
        <v>6650</v>
      </c>
      <c r="H23" s="569">
        <f>SUM(B23:G23)</f>
        <v/>
      </c>
    </row>
    <row r="24" ht="15" customHeight="1" s="562">
      <c r="A24" s="567" t="inlineStr">
        <is>
          <t>Marlanie</t>
        </is>
      </c>
      <c r="B24" s="570" t="n">
        <v>0</v>
      </c>
      <c r="C24" s="1131" t="n">
        <v>1800</v>
      </c>
      <c r="D24" s="570" t="n">
        <v>0</v>
      </c>
      <c r="E24" s="570" t="n">
        <v>0</v>
      </c>
      <c r="F24" s="570" t="n">
        <v>0</v>
      </c>
      <c r="G24" s="570" t="n">
        <v>0</v>
      </c>
      <c r="H24" s="569">
        <f>SUM(B24:G24)</f>
        <v/>
      </c>
    </row>
    <row r="25" ht="15" customHeight="1" s="562">
      <c r="A25" s="567" t="inlineStr">
        <is>
          <t>Scroope</t>
        </is>
      </c>
      <c r="B25" s="570" t="n">
        <v>0</v>
      </c>
      <c r="C25" s="1131" t="n">
        <v>14800</v>
      </c>
      <c r="D25" s="1131" t="n">
        <v>4000</v>
      </c>
      <c r="E25" s="1131" t="n">
        <v>3350</v>
      </c>
      <c r="F25" s="1131" t="n">
        <v>0</v>
      </c>
      <c r="G25" s="1131" t="n">
        <v>3350</v>
      </c>
      <c r="H25" s="569">
        <f>SUM(B25:G25)</f>
        <v/>
      </c>
    </row>
    <row r="26" ht="15" customHeight="1" s="562">
      <c r="A26" s="567" t="inlineStr">
        <is>
          <t>Nozi</t>
        </is>
      </c>
      <c r="B26" s="570" t="n">
        <v>0</v>
      </c>
      <c r="C26" s="1131" t="n">
        <v>3150</v>
      </c>
      <c r="D26" s="570" t="n">
        <v>0</v>
      </c>
      <c r="E26" s="570" t="n">
        <v>0</v>
      </c>
      <c r="F26" s="570" t="n">
        <v>0</v>
      </c>
      <c r="G26" s="570" t="n">
        <v>0</v>
      </c>
      <c r="H26" s="569">
        <f>SUM(B26:G26)</f>
        <v/>
      </c>
    </row>
    <row r="27" ht="15" customHeight="1" s="562">
      <c r="A27" s="567" t="inlineStr">
        <is>
          <t>Trish</t>
        </is>
      </c>
      <c r="B27" s="570" t="n">
        <v>0</v>
      </c>
      <c r="C27" s="1131" t="n">
        <v>1500</v>
      </c>
      <c r="D27" s="570" t="n">
        <v>0</v>
      </c>
      <c r="E27" s="570" t="n">
        <v>0</v>
      </c>
      <c r="F27" s="570" t="n">
        <v>0</v>
      </c>
      <c r="G27" s="570" t="n">
        <v>0</v>
      </c>
      <c r="H27" s="569">
        <f>SUM(B27:G27)</f>
        <v/>
      </c>
    </row>
    <row r="28" ht="15" customHeight="1" s="562">
      <c r="A28" s="567" t="inlineStr">
        <is>
          <t>Rene Lotz/ Wilhelm</t>
        </is>
      </c>
      <c r="B28" s="570" t="n">
        <v>0</v>
      </c>
      <c r="C28" s="570" t="n">
        <v>0</v>
      </c>
      <c r="D28" s="1131" t="n">
        <v>13200</v>
      </c>
      <c r="E28" s="1131" t="n">
        <v>0</v>
      </c>
      <c r="F28" s="570" t="n">
        <v>0</v>
      </c>
      <c r="G28" s="570" t="n">
        <v>0</v>
      </c>
      <c r="H28" s="569">
        <f>SUM(B28:G28)</f>
        <v/>
      </c>
    </row>
    <row r="29" ht="15" customHeight="1" s="562">
      <c r="A29" s="567" t="inlineStr">
        <is>
          <t>Natasha Naranjee</t>
        </is>
      </c>
      <c r="B29" s="570" t="n">
        <v>0</v>
      </c>
      <c r="C29" s="570" t="n">
        <v>0</v>
      </c>
      <c r="D29" s="1131" t="n">
        <v>10000</v>
      </c>
      <c r="E29" s="570" t="n">
        <v>0</v>
      </c>
      <c r="F29" s="570" t="n">
        <v>0</v>
      </c>
      <c r="G29" s="570" t="n">
        <v>0</v>
      </c>
      <c r="H29" s="569">
        <f>SUM(B29:G29)</f>
        <v/>
      </c>
    </row>
    <row r="30" ht="15" customHeight="1" s="562">
      <c r="A30" s="567" t="inlineStr">
        <is>
          <t>Kotie Jacoba</t>
        </is>
      </c>
      <c r="B30" s="570" t="n">
        <v>0</v>
      </c>
      <c r="C30" s="570" t="n">
        <v>0</v>
      </c>
      <c r="D30" s="1131" t="n">
        <v>8200</v>
      </c>
      <c r="E30" s="570" t="n">
        <v>0</v>
      </c>
      <c r="F30" s="570" t="n">
        <v>0</v>
      </c>
      <c r="G30" s="570" t="n">
        <v>0</v>
      </c>
      <c r="H30" s="569">
        <f>SUM(B30:G30)</f>
        <v/>
      </c>
    </row>
    <row r="31" ht="15" customHeight="1" s="562">
      <c r="A31" s="567" t="inlineStr">
        <is>
          <t>Christina Botha (Transfer)</t>
        </is>
      </c>
      <c r="B31" s="570" t="n">
        <v>0</v>
      </c>
      <c r="C31" s="570" t="n">
        <v>0</v>
      </c>
      <c r="D31" s="1131" t="n">
        <v>700</v>
      </c>
      <c r="E31" s="570" t="n">
        <v>0</v>
      </c>
      <c r="F31" s="570" t="n">
        <v>0</v>
      </c>
      <c r="G31" s="570" t="n">
        <v>0</v>
      </c>
      <c r="H31" s="569">
        <f>SUM(B31:G31)</f>
        <v/>
      </c>
    </row>
    <row r="32" ht="15" customHeight="1" s="562">
      <c r="A32" s="567" t="inlineStr">
        <is>
          <t>Julia Ann</t>
        </is>
      </c>
      <c r="B32" s="570" t="n">
        <v>0</v>
      </c>
      <c r="C32" s="570" t="n">
        <v>0</v>
      </c>
      <c r="D32" s="1131" t="n">
        <v>18000</v>
      </c>
      <c r="E32" s="570" t="n">
        <v>0</v>
      </c>
      <c r="F32" s="570" t="n">
        <v>0</v>
      </c>
      <c r="G32" s="570" t="n">
        <v>0</v>
      </c>
      <c r="H32" s="569">
        <f>SUM(B32:G32)</f>
        <v/>
      </c>
    </row>
    <row r="33" ht="15" customHeight="1" s="562">
      <c r="A33" s="567" t="inlineStr">
        <is>
          <t>Du Plessis</t>
        </is>
      </c>
      <c r="B33" s="570" t="n">
        <v>0</v>
      </c>
      <c r="C33" s="570" t="n">
        <v>0</v>
      </c>
      <c r="D33" s="1131" t="n">
        <v>5114</v>
      </c>
      <c r="E33" s="1131" t="n">
        <v>14000</v>
      </c>
      <c r="F33" s="1131" t="n">
        <v>12500</v>
      </c>
      <c r="G33" s="570" t="n">
        <v>0</v>
      </c>
      <c r="H33" s="569">
        <f>SUM(B33:G33)</f>
        <v/>
      </c>
    </row>
    <row r="34" ht="15" customHeight="1" s="562">
      <c r="A34" s="567" t="inlineStr">
        <is>
          <t>Megan Barnes</t>
        </is>
      </c>
      <c r="B34" s="570" t="n">
        <v>0</v>
      </c>
      <c r="C34" s="570" t="n">
        <v>0</v>
      </c>
      <c r="D34" s="1131" t="n">
        <v>3250</v>
      </c>
      <c r="E34" s="1131" t="n">
        <v>13000</v>
      </c>
      <c r="F34" s="1131" t="n">
        <v>13000</v>
      </c>
      <c r="G34" s="1131" t="n">
        <v>13000</v>
      </c>
      <c r="H34" s="569">
        <f>SUM(B34:G34)</f>
        <v/>
      </c>
    </row>
    <row r="35" ht="15" customHeight="1" s="562">
      <c r="A35" s="567" t="inlineStr">
        <is>
          <t>Darren Blumenthal</t>
        </is>
      </c>
      <c r="B35" s="570" t="n">
        <v>0</v>
      </c>
      <c r="C35" s="570" t="n">
        <v>0</v>
      </c>
      <c r="D35" s="1131" t="n">
        <v>2700</v>
      </c>
      <c r="E35" s="570" t="n">
        <v>0</v>
      </c>
      <c r="F35" s="570" t="n">
        <v>0</v>
      </c>
      <c r="G35" s="570" t="n">
        <v>0</v>
      </c>
      <c r="H35" s="569">
        <f>SUM(B35:G35)</f>
        <v/>
      </c>
    </row>
    <row r="36" ht="15" customHeight="1" s="562">
      <c r="A36" s="567" t="inlineStr">
        <is>
          <t>Wessels</t>
        </is>
      </c>
      <c r="B36" s="570" t="n">
        <v>0</v>
      </c>
      <c r="C36" s="570" t="n">
        <v>0</v>
      </c>
      <c r="D36" s="570" t="n">
        <v>0</v>
      </c>
      <c r="E36" s="1131" t="n">
        <v>3800</v>
      </c>
      <c r="F36" s="570" t="n">
        <v>0</v>
      </c>
      <c r="G36" s="570" t="n">
        <v>0</v>
      </c>
      <c r="H36" s="569">
        <f>SUM(B36:G36)</f>
        <v/>
      </c>
    </row>
    <row r="37" ht="15" customHeight="1" s="562">
      <c r="A37" s="567" t="inlineStr">
        <is>
          <t>Berthe Botha</t>
        </is>
      </c>
      <c r="B37" s="570" t="n">
        <v>0</v>
      </c>
      <c r="C37" s="570" t="n">
        <v>0</v>
      </c>
      <c r="D37" s="570" t="n">
        <v>0</v>
      </c>
      <c r="E37" s="1131" t="n">
        <v>5250</v>
      </c>
      <c r="F37" s="570" t="n">
        <v>0</v>
      </c>
      <c r="G37" s="570" t="n">
        <v>0</v>
      </c>
      <c r="H37" s="569">
        <f>SUM(B37:G37)</f>
        <v/>
      </c>
    </row>
    <row r="38" ht="15" customHeight="1" s="562">
      <c r="A38" s="567" t="inlineStr">
        <is>
          <t>Mia Ras</t>
        </is>
      </c>
      <c r="B38" s="570" t="n">
        <v>0</v>
      </c>
      <c r="C38" s="570" t="n">
        <v>0</v>
      </c>
      <c r="D38" s="570" t="n">
        <v>0</v>
      </c>
      <c r="E38" s="1131" t="n">
        <v>11900</v>
      </c>
      <c r="F38" s="1131" t="n">
        <v>11900</v>
      </c>
      <c r="G38" s="1131" t="n">
        <v>11900</v>
      </c>
      <c r="H38" s="569">
        <f>SUM(B38:G38)</f>
        <v/>
      </c>
    </row>
    <row r="39" ht="15" customHeight="1" s="562">
      <c r="A39" s="567" t="inlineStr">
        <is>
          <t>Derek Halls</t>
        </is>
      </c>
      <c r="B39" s="570" t="n">
        <v>0</v>
      </c>
      <c r="C39" s="570" t="n">
        <v>0</v>
      </c>
      <c r="D39" s="570" t="n">
        <v>0</v>
      </c>
      <c r="E39" s="1131" t="n">
        <v>16500</v>
      </c>
      <c r="F39" s="1131" t="n">
        <v>11600</v>
      </c>
      <c r="G39" s="1131" t="n">
        <v>17200</v>
      </c>
      <c r="H39" s="569">
        <f>SUM(B39:G39)</f>
        <v/>
      </c>
    </row>
    <row r="40" ht="15" customHeight="1" s="562">
      <c r="A40" s="567" t="inlineStr">
        <is>
          <t>Morrison</t>
        </is>
      </c>
      <c r="B40" s="570" t="n">
        <v>0</v>
      </c>
      <c r="C40" s="570" t="n">
        <v>0</v>
      </c>
      <c r="D40" s="570" t="n">
        <v>0</v>
      </c>
      <c r="E40" s="1131" t="n">
        <v>0</v>
      </c>
      <c r="F40" s="1131" t="n">
        <v>0</v>
      </c>
      <c r="G40" s="570" t="n">
        <v>0</v>
      </c>
      <c r="H40" s="569">
        <f>SUM(B40:G40)</f>
        <v/>
      </c>
    </row>
    <row r="41" ht="15" customHeight="1" s="562">
      <c r="A41" s="567" t="inlineStr">
        <is>
          <t>Kotie- Rental</t>
        </is>
      </c>
      <c r="B41" s="570" t="n">
        <v>0</v>
      </c>
      <c r="C41" s="570" t="n">
        <v>0</v>
      </c>
      <c r="D41" s="570" t="n">
        <v>0</v>
      </c>
      <c r="E41" s="1131" t="n">
        <v>600</v>
      </c>
      <c r="F41" s="1131" t="n">
        <v>600</v>
      </c>
      <c r="G41" s="570" t="n">
        <v>0</v>
      </c>
      <c r="H41" s="569">
        <f>SUM(B41:G41)</f>
        <v/>
      </c>
    </row>
    <row r="42" ht="15" customHeight="1" s="562">
      <c r="A42" s="567" t="inlineStr">
        <is>
          <t>Scholtz</t>
        </is>
      </c>
      <c r="B42" s="570" t="n">
        <v>0</v>
      </c>
      <c r="C42" s="570" t="n">
        <v>0</v>
      </c>
      <c r="D42" s="570" t="n">
        <v>0</v>
      </c>
      <c r="E42" s="1131" t="n">
        <v>3000</v>
      </c>
      <c r="F42" s="1131" t="n">
        <v>6750</v>
      </c>
      <c r="G42" s="570" t="n">
        <v>0</v>
      </c>
      <c r="H42" s="569">
        <f>SUM(B42:G42)</f>
        <v/>
      </c>
    </row>
    <row r="43" ht="15" customHeight="1" s="562">
      <c r="A43" s="567" t="inlineStr">
        <is>
          <t>Maria Burgum</t>
        </is>
      </c>
      <c r="B43" s="570" t="n">
        <v>0</v>
      </c>
      <c r="C43" s="570" t="n">
        <v>0</v>
      </c>
      <c r="D43" s="570" t="n">
        <v>0</v>
      </c>
      <c r="E43" s="1131" t="n">
        <v>8000</v>
      </c>
      <c r="F43" s="1131" t="n">
        <v>6750</v>
      </c>
      <c r="G43" s="1131" t="n">
        <v>2250</v>
      </c>
      <c r="H43" s="569">
        <f>SUM(B43:G43)</f>
        <v/>
      </c>
    </row>
    <row r="44" ht="15" customHeight="1" s="562">
      <c r="A44" s="567" t="inlineStr">
        <is>
          <t>Jean Place</t>
        </is>
      </c>
      <c r="B44" s="570" t="n">
        <v>0</v>
      </c>
      <c r="C44" s="570" t="n">
        <v>0</v>
      </c>
      <c r="D44" s="570" t="n">
        <v>0</v>
      </c>
      <c r="E44" s="1131" t="n">
        <v>9600</v>
      </c>
      <c r="F44" s="1131" t="n">
        <v>0</v>
      </c>
      <c r="G44" s="570" t="n">
        <v>0</v>
      </c>
      <c r="H44" s="569">
        <f>SUM(B44:G44)</f>
        <v/>
      </c>
    </row>
    <row r="45" ht="15" customHeight="1" s="562">
      <c r="A45" s="567" t="inlineStr">
        <is>
          <t>Roux- Esme</t>
        </is>
      </c>
      <c r="B45" s="570" t="n">
        <v>0</v>
      </c>
      <c r="C45" s="570" t="n">
        <v>0</v>
      </c>
      <c r="D45" s="570" t="n">
        <v>0</v>
      </c>
      <c r="E45" s="1131" t="n">
        <v>8250</v>
      </c>
      <c r="F45" s="1131" t="n">
        <v>5250</v>
      </c>
      <c r="G45" s="570" t="n">
        <v>0</v>
      </c>
      <c r="H45" s="569">
        <f>SUM(B45:G45)</f>
        <v/>
      </c>
    </row>
    <row r="46" ht="15" customHeight="1" s="562">
      <c r="A46" s="567" t="inlineStr">
        <is>
          <t>Carolina Richards</t>
        </is>
      </c>
      <c r="B46" s="570" t="n">
        <v>0</v>
      </c>
      <c r="C46" s="570" t="n">
        <v>0</v>
      </c>
      <c r="D46" s="570" t="n">
        <v>0</v>
      </c>
      <c r="E46" s="1131" t="n">
        <v>12000</v>
      </c>
      <c r="F46" s="1131" t="n">
        <v>23250</v>
      </c>
      <c r="G46" s="1131" t="n">
        <v>24000</v>
      </c>
      <c r="H46" s="569">
        <f>SUM(B46:G46)</f>
        <v/>
      </c>
    </row>
    <row r="47" ht="15" customHeight="1" s="562">
      <c r="A47" s="567" t="inlineStr">
        <is>
          <t>Webb- Sonja</t>
        </is>
      </c>
      <c r="B47" s="570" t="n">
        <v>0</v>
      </c>
      <c r="C47" s="570" t="n">
        <v>0</v>
      </c>
      <c r="D47" s="570" t="n">
        <v>0</v>
      </c>
      <c r="E47" s="1131" t="n">
        <v>2950</v>
      </c>
      <c r="F47" s="1131" t="n">
        <v>3000</v>
      </c>
      <c r="G47" s="1131" t="n">
        <v>3000</v>
      </c>
      <c r="H47" s="569">
        <f>SUM(B47:G47)</f>
        <v/>
      </c>
    </row>
    <row r="48" ht="15" customHeight="1" s="562">
      <c r="A48" s="567" t="inlineStr">
        <is>
          <t>Oosthuizen</t>
        </is>
      </c>
      <c r="B48" s="570" t="n">
        <v>0</v>
      </c>
      <c r="C48" s="570" t="n">
        <v>0</v>
      </c>
      <c r="D48" s="570" t="n">
        <v>0</v>
      </c>
      <c r="E48" s="1131" t="n">
        <v>6750</v>
      </c>
      <c r="F48" s="1131" t="n">
        <v>0</v>
      </c>
      <c r="G48" s="570" t="n">
        <v>0</v>
      </c>
      <c r="H48" s="569">
        <f>SUM(B48:G48)</f>
        <v/>
      </c>
    </row>
    <row r="49" ht="15" customHeight="1" s="562">
      <c r="A49" s="567" t="inlineStr">
        <is>
          <t>O'Neill</t>
        </is>
      </c>
      <c r="B49" s="570" t="n">
        <v>0</v>
      </c>
      <c r="C49" s="570" t="n">
        <v>0</v>
      </c>
      <c r="D49" s="570" t="n">
        <v>0</v>
      </c>
      <c r="E49" s="1131" t="n">
        <v>6000</v>
      </c>
      <c r="F49" s="1131" t="n">
        <v>46500</v>
      </c>
      <c r="G49" s="1131" t="n">
        <v>45000</v>
      </c>
      <c r="H49" s="569">
        <f>SUM(B49:G49)</f>
        <v/>
      </c>
    </row>
    <row r="50" ht="15" customHeight="1" s="562">
      <c r="A50" s="567" t="inlineStr">
        <is>
          <t>De Waal</t>
        </is>
      </c>
      <c r="B50" s="570" t="n">
        <v>0</v>
      </c>
      <c r="C50" s="570" t="n">
        <v>0</v>
      </c>
      <c r="D50" s="570" t="n">
        <v>0</v>
      </c>
      <c r="E50" s="1131" t="n">
        <v>5700</v>
      </c>
      <c r="F50" s="1131" t="n">
        <v>33250</v>
      </c>
      <c r="G50" s="1131" t="n">
        <v>24700</v>
      </c>
      <c r="H50" s="569">
        <f>SUM(B50:G50)</f>
        <v/>
      </c>
    </row>
    <row r="51" ht="15" customHeight="1" s="562">
      <c r="A51" s="567" t="inlineStr">
        <is>
          <t>Fisher</t>
        </is>
      </c>
      <c r="B51" s="570" t="n">
        <v>0</v>
      </c>
      <c r="C51" s="570" t="n">
        <v>0</v>
      </c>
      <c r="D51" s="570" t="n">
        <v>0</v>
      </c>
      <c r="E51" s="570" t="n">
        <v>0</v>
      </c>
      <c r="F51" s="1131" t="n">
        <v>5500</v>
      </c>
      <c r="G51" s="1131" t="n">
        <v>5500</v>
      </c>
      <c r="H51" s="569">
        <f>SUM(B51:G51)</f>
        <v/>
      </c>
    </row>
    <row r="52" ht="15" customHeight="1" s="562">
      <c r="A52" s="567" t="inlineStr">
        <is>
          <t>Alberts</t>
        </is>
      </c>
      <c r="B52" s="570" t="n">
        <v>0</v>
      </c>
      <c r="C52" s="570" t="n">
        <v>0</v>
      </c>
      <c r="D52" s="570" t="n">
        <v>0</v>
      </c>
      <c r="E52" s="570" t="n">
        <v>0</v>
      </c>
      <c r="F52" s="1131" t="n">
        <v>3800</v>
      </c>
      <c r="G52" s="570" t="n">
        <v>0</v>
      </c>
      <c r="H52" s="569">
        <f>SUM(B52:G52)</f>
        <v/>
      </c>
    </row>
    <row r="53" ht="15" customHeight="1" s="562">
      <c r="A53" s="567" t="inlineStr">
        <is>
          <t>Peens</t>
        </is>
      </c>
      <c r="B53" s="570" t="n">
        <v>0</v>
      </c>
      <c r="C53" s="570" t="n">
        <v>0</v>
      </c>
      <c r="D53" s="570" t="n">
        <v>0</v>
      </c>
      <c r="E53" s="570" t="n">
        <v>0</v>
      </c>
      <c r="F53" s="1131" t="n">
        <v>16500</v>
      </c>
      <c r="G53" s="570" t="n">
        <v>0</v>
      </c>
      <c r="H53" s="569">
        <f>SUM(B53:G53)</f>
        <v/>
      </c>
    </row>
    <row r="54" ht="15" customHeight="1" s="562">
      <c r="A54" s="567" t="inlineStr">
        <is>
          <t>Ingham</t>
        </is>
      </c>
      <c r="B54" s="570" t="n">
        <v>0</v>
      </c>
      <c r="C54" s="570" t="n">
        <v>0</v>
      </c>
      <c r="D54" s="570" t="n">
        <v>0</v>
      </c>
      <c r="E54" s="570" t="n">
        <v>0</v>
      </c>
      <c r="F54" s="1131" t="n">
        <v>6200</v>
      </c>
      <c r="G54" s="570" t="n">
        <v>0</v>
      </c>
      <c r="H54" s="569">
        <f>SUM(B54:G54)</f>
        <v/>
      </c>
    </row>
    <row r="55" ht="15" customHeight="1" s="562">
      <c r="A55" s="567" t="inlineStr">
        <is>
          <t>Gildenhyus</t>
        </is>
      </c>
      <c r="B55" s="570" t="n">
        <v>0</v>
      </c>
      <c r="C55" s="570" t="n">
        <v>0</v>
      </c>
      <c r="D55" s="570" t="n">
        <v>0</v>
      </c>
      <c r="E55" s="570" t="n">
        <v>0</v>
      </c>
      <c r="F55" s="1131" t="n">
        <v>5550</v>
      </c>
      <c r="G55" s="570" t="n">
        <v>0</v>
      </c>
      <c r="H55" s="569">
        <f>SUM(B55:G55)</f>
        <v/>
      </c>
    </row>
    <row r="56" ht="15" customHeight="1" s="562">
      <c r="A56" s="567" t="inlineStr">
        <is>
          <t>Anton Steyn/ Emce</t>
        </is>
      </c>
      <c r="B56" s="570" t="n">
        <v>0</v>
      </c>
      <c r="C56" s="570" t="n">
        <v>0</v>
      </c>
      <c r="D56" s="570" t="n">
        <v>0</v>
      </c>
      <c r="E56" s="570" t="n">
        <v>0</v>
      </c>
      <c r="F56" s="570" t="n">
        <v>0</v>
      </c>
      <c r="G56" s="1131" t="n">
        <v>3800</v>
      </c>
      <c r="H56" s="569">
        <f>SUM(B56:G56)</f>
        <v/>
      </c>
    </row>
    <row r="57" ht="15" customHeight="1" s="562">
      <c r="A57" s="571" t="inlineStr">
        <is>
          <t>TOTAL</t>
        </is>
      </c>
      <c r="B57" s="569">
        <f>SUM(B4:B56)</f>
        <v/>
      </c>
      <c r="C57" s="569">
        <f>SUM(C4:C56)</f>
        <v/>
      </c>
      <c r="D57" s="569">
        <f>SUM(D4:D56)</f>
        <v/>
      </c>
      <c r="E57" s="569">
        <f>SUM(E4:E56)</f>
        <v/>
      </c>
      <c r="F57" s="569">
        <f>SUM(F4:F56)</f>
        <v/>
      </c>
      <c r="G57" s="569">
        <f>SUM(G4:G56)</f>
        <v/>
      </c>
      <c r="H57" s="569">
        <f>SUM(H4:H56)</f>
        <v/>
      </c>
    </row>
    <row r="58" ht="15" customHeight="1" s="562">
      <c r="A58" s="572" t="inlineStr">
        <is>
          <t>Sheet Total (validation)</t>
        </is>
      </c>
      <c r="B58" s="573" t="n">
        <v>201150</v>
      </c>
      <c r="C58" s="573" t="n">
        <v>223287</v>
      </c>
      <c r="D58" s="573" t="n">
        <v>242994</v>
      </c>
      <c r="E58" s="573" t="n">
        <v>274922</v>
      </c>
      <c r="F58" s="573" t="n">
        <v>370000</v>
      </c>
      <c r="G58" s="573" t="n">
        <v>261200</v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4921875" defaultRowHeight="15" customHeight="0" zeroHeight="0" outlineLevelRow="0"/>
  <cols>
    <col width="38" customWidth="1" style="561" min="1" max="1"/>
    <col width="14" customWidth="1" style="561" min="2" max="8"/>
  </cols>
  <sheetData>
    <row r="1" ht="17.35" customHeight="1" s="562">
      <c r="A1" s="563" t="inlineStr">
        <is>
          <t>TCH Holdings – Caregiver Pay Summary (ZAR)</t>
        </is>
      </c>
      <c r="B1" s="564" t="n"/>
      <c r="C1" s="564" t="n"/>
      <c r="D1" s="564" t="n"/>
      <c r="E1" s="564" t="n"/>
      <c r="F1" s="564" t="n"/>
      <c r="G1" s="564" t="n"/>
      <c r="H1" s="565" t="n"/>
    </row>
    <row r="3" ht="15" customHeight="1" s="562">
      <c r="A3" s="566" t="inlineStr">
        <is>
          <t>Caregiver</t>
        </is>
      </c>
      <c r="B3" s="566" t="inlineStr">
        <is>
          <t>Nov 2025</t>
        </is>
      </c>
      <c r="C3" s="566" t="inlineStr">
        <is>
          <t>Dec 2025</t>
        </is>
      </c>
      <c r="D3" s="566" t="inlineStr">
        <is>
          <t>Jan 2026</t>
        </is>
      </c>
      <c r="E3" s="566" t="inlineStr">
        <is>
          <t>Feb 2026</t>
        </is>
      </c>
      <c r="F3" s="566" t="inlineStr">
        <is>
          <t>Mar 2026</t>
        </is>
      </c>
      <c r="G3" s="566" t="inlineStr">
        <is>
          <t>Apr 2026</t>
        </is>
      </c>
      <c r="H3" s="566" t="inlineStr">
        <is>
          <t>Total</t>
        </is>
      </c>
    </row>
    <row r="4" ht="15" customHeight="1" s="562">
      <c r="A4" s="1152" t="inlineStr">
        <is>
          <t>Linda Rapuluchukwa</t>
        </is>
      </c>
      <c r="B4" s="1153" t="n">
        <v>9600</v>
      </c>
      <c r="C4" s="1153" t="n">
        <v>9600</v>
      </c>
      <c r="D4" s="1153" t="n">
        <v>9600</v>
      </c>
      <c r="E4" s="1153" t="n">
        <v>11400</v>
      </c>
      <c r="F4" s="1153" t="n">
        <v>10500</v>
      </c>
      <c r="G4" s="1154" t="n">
        <v>0</v>
      </c>
      <c r="H4" s="1155">
        <f>SUM(B4:G4)</f>
        <v/>
      </c>
    </row>
    <row r="5" ht="15" customHeight="1" s="562">
      <c r="A5" s="1152" t="inlineStr">
        <is>
          <t>Sophie Koga</t>
        </is>
      </c>
      <c r="B5" s="1153" t="n">
        <v>11250</v>
      </c>
      <c r="C5" s="1153" t="n">
        <v>9450</v>
      </c>
      <c r="D5" s="1153" t="n">
        <v>10800</v>
      </c>
      <c r="E5" s="1153" t="n">
        <v>7450</v>
      </c>
      <c r="F5" s="1153" t="n">
        <v>1650</v>
      </c>
      <c r="G5" s="1154" t="n">
        <v>0</v>
      </c>
      <c r="H5" s="1155">
        <f>SUM(B5:G5)</f>
        <v/>
      </c>
    </row>
    <row r="6" ht="15" customHeight="1" s="562">
      <c r="A6" s="1152" t="inlineStr">
        <is>
          <t>Joyce Mutambiranwa</t>
        </is>
      </c>
      <c r="B6" s="1153" t="n">
        <v>3150</v>
      </c>
      <c r="C6" s="1153" t="n">
        <v>6750</v>
      </c>
      <c r="D6" s="1153" t="n">
        <v>10000</v>
      </c>
      <c r="E6" s="1153" t="n">
        <v>8900</v>
      </c>
      <c r="F6" s="1153" t="n">
        <v>8000</v>
      </c>
      <c r="G6" s="1154" t="n">
        <v>0</v>
      </c>
      <c r="H6" s="1155">
        <f>SUM(B6:G6)</f>
        <v/>
      </c>
    </row>
    <row r="7" ht="15" customHeight="1" s="562">
      <c r="A7" s="1152" t="inlineStr">
        <is>
          <t>Emily Mentula</t>
        </is>
      </c>
      <c r="B7" s="1153" t="n">
        <v>3600</v>
      </c>
      <c r="C7" s="1153" t="n">
        <v>9450</v>
      </c>
      <c r="D7" s="1153" t="n">
        <v>8360</v>
      </c>
      <c r="E7" s="1153" t="n">
        <v>7200</v>
      </c>
      <c r="F7" s="1153" t="n">
        <v>9450</v>
      </c>
      <c r="G7" s="1154" t="n">
        <v>0</v>
      </c>
      <c r="H7" s="1155">
        <f>SUM(B7:G7)</f>
        <v/>
      </c>
    </row>
    <row r="8" ht="15" customHeight="1" s="562">
      <c r="A8" s="1152" t="inlineStr">
        <is>
          <t>Cynthia Makondo</t>
        </is>
      </c>
      <c r="B8" s="1153" t="n">
        <v>8750</v>
      </c>
      <c r="C8" s="1153" t="n">
        <v>4200</v>
      </c>
      <c r="D8" s="1153" t="n">
        <v>3050</v>
      </c>
      <c r="E8" s="1153" t="n">
        <v>7150</v>
      </c>
      <c r="F8" s="1153" t="n">
        <v>7650</v>
      </c>
      <c r="G8" s="1154" t="n">
        <v>0</v>
      </c>
      <c r="H8" s="1155">
        <f>SUM(B8:G8)</f>
        <v/>
      </c>
    </row>
    <row r="9" ht="15" customHeight="1" s="562">
      <c r="A9" s="1152" t="inlineStr">
        <is>
          <t>Ruth Nnadi</t>
        </is>
      </c>
      <c r="B9" s="1153" t="n">
        <v>0</v>
      </c>
      <c r="C9" s="1153" t="n">
        <v>6750</v>
      </c>
      <c r="D9" s="1153" t="n">
        <v>7200</v>
      </c>
      <c r="E9" s="1153" t="n">
        <v>4950</v>
      </c>
      <c r="F9" s="1153" t="n">
        <v>7100</v>
      </c>
      <c r="G9" s="1154" t="n">
        <v>0</v>
      </c>
      <c r="H9" s="1155">
        <f>SUM(B9:G9)</f>
        <v/>
      </c>
    </row>
    <row r="10" ht="15" customHeight="1" s="562">
      <c r="A10" s="1152" t="inlineStr">
        <is>
          <t>Christina Maluleka</t>
        </is>
      </c>
      <c r="B10" s="1153" t="n">
        <v>9000</v>
      </c>
      <c r="C10" s="1153" t="n">
        <v>9450</v>
      </c>
      <c r="D10" s="1153" t="n">
        <v>9450</v>
      </c>
      <c r="E10" s="1153" t="n">
        <v>9000</v>
      </c>
      <c r="F10" s="1153" t="n">
        <v>12150</v>
      </c>
      <c r="G10" s="1154" t="n">
        <v>0</v>
      </c>
      <c r="H10" s="1155">
        <f>SUM(B10:G10)</f>
        <v/>
      </c>
    </row>
    <row r="11" ht="15" customHeight="1" s="562">
      <c r="A11" s="1152" t="inlineStr">
        <is>
          <t>Mzee Mzwakhe</t>
        </is>
      </c>
      <c r="B11" s="1153" t="n">
        <v>6450</v>
      </c>
      <c r="C11" s="1153" t="n">
        <v>9400</v>
      </c>
      <c r="D11" s="1154" t="n">
        <v>0</v>
      </c>
      <c r="E11" s="1154" t="n">
        <v>0</v>
      </c>
      <c r="F11" s="1154" t="n">
        <v>0</v>
      </c>
      <c r="G11" s="1154" t="n">
        <v>0</v>
      </c>
      <c r="H11" s="1155">
        <f>SUM(B11:G11)</f>
        <v/>
      </c>
    </row>
    <row r="12" ht="15" customHeight="1" s="562">
      <c r="A12" s="567" t="inlineStr">
        <is>
          <t>Susan Murire</t>
        </is>
      </c>
      <c r="B12" s="1131" t="n">
        <v>5850</v>
      </c>
      <c r="C12" s="1131" t="n">
        <v>0</v>
      </c>
      <c r="D12" s="1131" t="n">
        <v>7425</v>
      </c>
      <c r="E12" s="1131" t="n">
        <v>9000</v>
      </c>
      <c r="F12" s="1131" t="n">
        <v>9900</v>
      </c>
      <c r="G12" s="570" t="n">
        <v>0</v>
      </c>
      <c r="H12" s="569">
        <f>SUM(B12:G12)</f>
        <v/>
      </c>
    </row>
    <row r="13" ht="15" customHeight="1" s="562">
      <c r="A13" s="567" t="inlineStr">
        <is>
          <t>Ndai Mapenyenye</t>
        </is>
      </c>
      <c r="B13" s="1131" t="n">
        <v>0</v>
      </c>
      <c r="C13" s="1131" t="n">
        <v>0</v>
      </c>
      <c r="D13" s="1131" t="n">
        <v>0</v>
      </c>
      <c r="E13" s="1131" t="n">
        <v>3150</v>
      </c>
      <c r="F13" s="1131" t="n">
        <v>8000</v>
      </c>
      <c r="G13" s="570" t="n">
        <v>0</v>
      </c>
      <c r="H13" s="569">
        <f>SUM(B13:G13)</f>
        <v/>
      </c>
    </row>
    <row r="14" ht="15" customHeight="1" s="562">
      <c r="A14" s="1152" t="inlineStr">
        <is>
          <t>Adaobi Ejikeme</t>
        </is>
      </c>
      <c r="B14" s="1153" t="n">
        <v>6300</v>
      </c>
      <c r="C14" s="1153" t="n">
        <v>6750</v>
      </c>
      <c r="D14" s="1153" t="n">
        <v>3600</v>
      </c>
      <c r="E14" s="1153" t="n">
        <v>6650</v>
      </c>
      <c r="F14" s="1153" t="n">
        <v>7300</v>
      </c>
      <c r="G14" s="1154" t="n">
        <v>0</v>
      </c>
      <c r="H14" s="1155">
        <f>SUM(B14:G14)</f>
        <v/>
      </c>
    </row>
    <row r="15" ht="15" customHeight="1" s="562">
      <c r="A15" s="567" t="inlineStr">
        <is>
          <t>Merriam Maluleke</t>
        </is>
      </c>
      <c r="B15" s="1131" t="n">
        <v>4500</v>
      </c>
      <c r="C15" s="1131" t="n">
        <v>3340</v>
      </c>
      <c r="D15" s="1131" t="n">
        <v>4924</v>
      </c>
      <c r="E15" s="1131" t="n">
        <v>2700</v>
      </c>
      <c r="F15" s="1131" t="n">
        <v>8000</v>
      </c>
      <c r="G15" s="570" t="n">
        <v>0</v>
      </c>
      <c r="H15" s="569">
        <f>SUM(B15:G15)</f>
        <v/>
      </c>
    </row>
    <row r="16" ht="15" customHeight="1" s="562">
      <c r="A16" s="567" t="inlineStr">
        <is>
          <t>Jane Mokgaetsi Moekwa</t>
        </is>
      </c>
      <c r="B16" s="1131" t="n">
        <v>9000</v>
      </c>
      <c r="C16" s="1131" t="n">
        <v>6028</v>
      </c>
      <c r="D16" s="1131" t="n">
        <v>6300</v>
      </c>
      <c r="E16" s="1131" t="n">
        <v>0</v>
      </c>
      <c r="F16" s="1131" t="n">
        <v>0</v>
      </c>
      <c r="G16" s="570" t="n">
        <v>0</v>
      </c>
      <c r="H16" s="569">
        <f>SUM(B16:G16)</f>
        <v/>
      </c>
    </row>
    <row r="17" ht="15" customHeight="1" s="562">
      <c r="A17" s="1152" t="inlineStr">
        <is>
          <t>Sylvia Nene</t>
        </is>
      </c>
      <c r="B17" s="1153" t="n">
        <v>7000</v>
      </c>
      <c r="C17" s="1153" t="n">
        <v>5185</v>
      </c>
      <c r="D17" s="1153" t="n">
        <v>5350</v>
      </c>
      <c r="E17" s="1153" t="n">
        <v>3150</v>
      </c>
      <c r="F17" s="1153" t="n">
        <v>5850</v>
      </c>
      <c r="G17" s="1154" t="n">
        <v>0</v>
      </c>
      <c r="H17" s="1155">
        <f>SUM(B17:G17)</f>
        <v/>
      </c>
    </row>
    <row r="18" ht="15" customHeight="1" s="562">
      <c r="A18" s="567" t="inlineStr">
        <is>
          <t>Matodzi Sylvia Mutavhatsindi</t>
        </is>
      </c>
      <c r="B18" s="1131" t="n">
        <v>750</v>
      </c>
      <c r="C18" s="1131" t="n">
        <v>0</v>
      </c>
      <c r="D18" s="1131" t="n">
        <v>0</v>
      </c>
      <c r="E18" s="1131" t="n">
        <v>0</v>
      </c>
      <c r="F18" s="1131" t="n">
        <v>0</v>
      </c>
      <c r="G18" s="570" t="n">
        <v>0</v>
      </c>
      <c r="H18" s="569">
        <f>SUM(B18:G18)</f>
        <v/>
      </c>
    </row>
    <row r="19" ht="15" customHeight="1" s="562">
      <c r="A19" s="567" t="inlineStr">
        <is>
          <t>Siphilisiwe Nkala(Patricia)</t>
        </is>
      </c>
      <c r="B19" s="1131" t="n">
        <v>8450</v>
      </c>
      <c r="C19" s="1131" t="n">
        <v>8750</v>
      </c>
      <c r="D19" s="1131" t="n">
        <v>6950</v>
      </c>
      <c r="E19" s="1131" t="n">
        <v>8450</v>
      </c>
      <c r="F19" s="1131" t="n">
        <v>9450</v>
      </c>
      <c r="G19" s="570" t="n">
        <v>0</v>
      </c>
      <c r="H19" s="569">
        <f>SUM(B19:G19)</f>
        <v/>
      </c>
    </row>
    <row r="20" ht="15" customHeight="1" s="562">
      <c r="A20" s="567" t="inlineStr">
        <is>
          <t>Refiloe Khuzwayo</t>
        </is>
      </c>
      <c r="B20" s="1131" t="n">
        <v>4050</v>
      </c>
      <c r="C20" s="1131" t="n">
        <v>6300</v>
      </c>
      <c r="D20" s="1131" t="n">
        <v>0</v>
      </c>
      <c r="E20" s="1131" t="n">
        <v>0</v>
      </c>
      <c r="F20" s="1131" t="n">
        <v>0</v>
      </c>
      <c r="G20" s="570" t="n">
        <v>0</v>
      </c>
      <c r="H20" s="569">
        <f>SUM(B20:G20)</f>
        <v/>
      </c>
    </row>
    <row r="21" ht="15" customHeight="1" s="562">
      <c r="A21" s="567" t="inlineStr">
        <is>
          <t>Mmamaswabi Emma Dhlamini</t>
        </is>
      </c>
      <c r="B21" s="1131" t="n">
        <v>9000</v>
      </c>
      <c r="C21" s="1131" t="n">
        <v>4500</v>
      </c>
      <c r="D21" s="1131" t="n">
        <v>6750</v>
      </c>
      <c r="E21" s="1131" t="n">
        <v>2900</v>
      </c>
      <c r="F21" s="1131" t="n">
        <v>7050</v>
      </c>
      <c r="G21" s="570" t="n">
        <v>0</v>
      </c>
      <c r="H21" s="569">
        <f>SUM(B21:G21)</f>
        <v/>
      </c>
    </row>
    <row r="22" ht="15" customHeight="1" s="562">
      <c r="A22" s="567" t="inlineStr">
        <is>
          <t>Tracy Nothando Nyirenda</t>
        </is>
      </c>
      <c r="B22" s="1131" t="n">
        <v>2250</v>
      </c>
      <c r="C22" s="1131" t="n">
        <v>7400</v>
      </c>
      <c r="D22" s="1131" t="n">
        <v>6300</v>
      </c>
      <c r="E22" s="1131" t="n">
        <v>5850</v>
      </c>
      <c r="F22" s="1131" t="n">
        <v>450</v>
      </c>
      <c r="G22" s="570" t="n">
        <v>0</v>
      </c>
      <c r="H22" s="569">
        <f>SUM(B22:G22)</f>
        <v/>
      </c>
    </row>
    <row r="23" ht="15" customHeight="1" s="562">
      <c r="A23" s="567" t="inlineStr">
        <is>
          <t>Marion Goeda</t>
        </is>
      </c>
      <c r="B23" s="570" t="n">
        <v>0</v>
      </c>
      <c r="C23" s="1131" t="n">
        <v>5000</v>
      </c>
      <c r="D23" s="1131" t="n">
        <v>9091</v>
      </c>
      <c r="E23" s="1131" t="n">
        <v>7600</v>
      </c>
      <c r="F23" s="1131" t="n">
        <v>9000</v>
      </c>
      <c r="G23" s="570" t="n">
        <v>0</v>
      </c>
      <c r="H23" s="569">
        <f>SUM(B23:G23)</f>
        <v/>
      </c>
    </row>
    <row r="24" ht="15" customHeight="1" s="562">
      <c r="A24" s="567" t="inlineStr">
        <is>
          <t>Rebecca Samba</t>
        </is>
      </c>
      <c r="B24" s="570" t="n">
        <v>0</v>
      </c>
      <c r="C24" s="1131" t="n">
        <v>150</v>
      </c>
      <c r="D24" s="570" t="n">
        <v>0</v>
      </c>
      <c r="E24" s="570" t="n">
        <v>0</v>
      </c>
      <c r="F24" s="570" t="n">
        <v>0</v>
      </c>
      <c r="G24" s="570" t="n">
        <v>0</v>
      </c>
      <c r="H24" s="569">
        <f>SUM(B24:G24)</f>
        <v/>
      </c>
    </row>
    <row r="25" ht="15" customHeight="1" s="562">
      <c r="A25" s="567" t="inlineStr">
        <is>
          <t>Siphethokhuhle Nkomo</t>
        </is>
      </c>
      <c r="B25" s="570" t="n">
        <v>0</v>
      </c>
      <c r="C25" s="1131" t="n">
        <v>3150</v>
      </c>
      <c r="D25" s="1131" t="n">
        <v>7200</v>
      </c>
      <c r="E25" s="1131" t="n">
        <v>1800</v>
      </c>
      <c r="F25" s="1131" t="n">
        <v>6050</v>
      </c>
      <c r="G25" s="570" t="n">
        <v>0</v>
      </c>
      <c r="H25" s="569">
        <f>SUM(B25:G25)</f>
        <v/>
      </c>
    </row>
    <row r="26" ht="15" customHeight="1" s="562">
      <c r="A26" s="567" t="inlineStr">
        <is>
          <t>Lina Raphahlela</t>
        </is>
      </c>
      <c r="B26" s="570" t="n">
        <v>0</v>
      </c>
      <c r="C26" s="570" t="n">
        <v>0</v>
      </c>
      <c r="D26" s="1131" t="n">
        <v>3600</v>
      </c>
      <c r="E26" s="1131" t="n">
        <v>0</v>
      </c>
      <c r="F26" s="570" t="n">
        <v>0</v>
      </c>
      <c r="G26" s="570" t="n">
        <v>0</v>
      </c>
      <c r="H26" s="569">
        <f>SUM(B26:G26)</f>
        <v/>
      </c>
    </row>
    <row r="27" ht="15" customHeight="1" s="562">
      <c r="A27" s="567" t="inlineStr">
        <is>
          <t>Matshidiso Leah Aphane</t>
        </is>
      </c>
      <c r="B27" s="570" t="n">
        <v>0</v>
      </c>
      <c r="C27" s="570" t="n">
        <v>0</v>
      </c>
      <c r="D27" s="1131" t="n">
        <v>1750</v>
      </c>
      <c r="E27" s="1131" t="n">
        <v>7000</v>
      </c>
      <c r="F27" s="1131" t="n">
        <v>6650</v>
      </c>
      <c r="G27" s="570" t="n">
        <v>0</v>
      </c>
      <c r="H27" s="569">
        <f>SUM(B27:G27)</f>
        <v/>
      </c>
    </row>
    <row r="28" ht="15" customHeight="1" s="562">
      <c r="A28" s="1152" t="inlineStr">
        <is>
          <t>Monique Bosch</t>
        </is>
      </c>
      <c r="B28" s="1154" t="n">
        <v>0</v>
      </c>
      <c r="C28" s="1154" t="n">
        <v>0</v>
      </c>
      <c r="D28" s="1153" t="n">
        <v>2547</v>
      </c>
      <c r="E28" s="1153" t="n">
        <v>0</v>
      </c>
      <c r="F28" s="1153" t="n">
        <v>0</v>
      </c>
      <c r="G28" s="1154" t="n">
        <v>0</v>
      </c>
      <c r="H28" s="1155">
        <f>SUM(B28:G28)</f>
        <v/>
      </c>
    </row>
    <row r="29" ht="15" customHeight="1" s="562">
      <c r="A29" s="567" t="inlineStr">
        <is>
          <t>Nhlakanipho (Nipho) Tshabalala</t>
        </is>
      </c>
      <c r="B29" s="570" t="n">
        <v>0</v>
      </c>
      <c r="C29" s="570" t="n">
        <v>0</v>
      </c>
      <c r="D29" s="1131" t="n">
        <v>2500</v>
      </c>
      <c r="E29" s="1131" t="n">
        <v>5400</v>
      </c>
      <c r="F29" s="1131" t="n">
        <v>10000</v>
      </c>
      <c r="G29" s="570" t="n">
        <v>0</v>
      </c>
      <c r="H29" s="569">
        <f>SUM(B29:G29)</f>
        <v/>
      </c>
    </row>
    <row r="30" ht="15" customHeight="1" s="562">
      <c r="A30" s="1152" t="inlineStr">
        <is>
          <t>Musa Zulu</t>
        </is>
      </c>
      <c r="B30" s="1154" t="n">
        <v>0</v>
      </c>
      <c r="C30" s="1154" t="n">
        <v>0</v>
      </c>
      <c r="D30" s="1154" t="n">
        <v>0</v>
      </c>
      <c r="E30" s="1153" t="n">
        <v>6300</v>
      </c>
      <c r="F30" s="1153" t="n">
        <v>6700</v>
      </c>
      <c r="G30" s="1154" t="n">
        <v>0</v>
      </c>
      <c r="H30" s="1155">
        <f>SUM(B30:G30)</f>
        <v/>
      </c>
    </row>
    <row r="31" ht="15" customHeight="1" s="562">
      <c r="A31" s="567" t="inlineStr">
        <is>
          <t>Busisiwe Mandiyanike</t>
        </is>
      </c>
      <c r="B31" s="570" t="n">
        <v>0</v>
      </c>
      <c r="C31" s="570" t="n">
        <v>0</v>
      </c>
      <c r="D31" s="570" t="n">
        <v>0</v>
      </c>
      <c r="E31" s="1131" t="n">
        <v>3500</v>
      </c>
      <c r="F31" s="1131" t="n">
        <v>0</v>
      </c>
      <c r="G31" s="570" t="n">
        <v>0</v>
      </c>
      <c r="H31" s="569">
        <f>SUM(B31:G31)</f>
        <v/>
      </c>
    </row>
    <row r="32" ht="15" customHeight="1" s="562">
      <c r="A32" s="567" t="inlineStr">
        <is>
          <t>Emilia Masvosva</t>
        </is>
      </c>
      <c r="B32" s="570" t="n">
        <v>0</v>
      </c>
      <c r="C32" s="570" t="n">
        <v>0</v>
      </c>
      <c r="D32" s="570" t="n">
        <v>0</v>
      </c>
      <c r="E32" s="1131" t="n">
        <v>4350</v>
      </c>
      <c r="F32" s="570" t="n">
        <v>0</v>
      </c>
      <c r="G32" s="570" t="n">
        <v>0</v>
      </c>
      <c r="H32" s="569">
        <f>SUM(B32:G32)</f>
        <v/>
      </c>
    </row>
    <row r="33" ht="15" customHeight="1" s="562">
      <c r="A33" s="1152" t="inlineStr">
        <is>
          <t>Martha Mashishi</t>
        </is>
      </c>
      <c r="B33" s="1154" t="n">
        <v>0</v>
      </c>
      <c r="C33" s="1154" t="n">
        <v>0</v>
      </c>
      <c r="D33" s="1154" t="n">
        <v>0</v>
      </c>
      <c r="E33" s="1153" t="n">
        <v>450</v>
      </c>
      <c r="F33" s="1153" t="n">
        <v>0</v>
      </c>
      <c r="G33" s="1154" t="n">
        <v>0</v>
      </c>
      <c r="H33" s="1155">
        <f>SUM(B33:G33)</f>
        <v/>
      </c>
    </row>
    <row r="34" ht="15" customHeight="1" s="562">
      <c r="A34" s="567" t="inlineStr">
        <is>
          <t>Sara Mdaka</t>
        </is>
      </c>
      <c r="B34" s="570" t="n">
        <v>0</v>
      </c>
      <c r="C34" s="570" t="n">
        <v>0</v>
      </c>
      <c r="D34" s="570" t="n">
        <v>0</v>
      </c>
      <c r="E34" s="1131" t="n">
        <v>3600</v>
      </c>
      <c r="F34" s="1131" t="n">
        <v>1500</v>
      </c>
      <c r="G34" s="570" t="n">
        <v>0</v>
      </c>
      <c r="H34" s="569">
        <f>SUM(B34:G34)</f>
        <v/>
      </c>
    </row>
    <row r="35" ht="15" customHeight="1" s="562">
      <c r="A35" s="567" t="inlineStr">
        <is>
          <t>Martha Sona</t>
        </is>
      </c>
      <c r="B35" s="570" t="n">
        <v>0</v>
      </c>
      <c r="C35" s="570" t="n">
        <v>0</v>
      </c>
      <c r="D35" s="570" t="n">
        <v>0</v>
      </c>
      <c r="E35" s="1131" t="n">
        <v>900</v>
      </c>
      <c r="F35" s="1131" t="n">
        <v>0</v>
      </c>
      <c r="G35" s="570" t="n">
        <v>0</v>
      </c>
      <c r="H35" s="569">
        <f>SUM(B35:G35)</f>
        <v/>
      </c>
    </row>
    <row r="36" ht="15" customHeight="1" s="562">
      <c r="A36" s="567" t="inlineStr">
        <is>
          <t>Julia Ramoroka</t>
        </is>
      </c>
      <c r="B36" s="570" t="n">
        <v>0</v>
      </c>
      <c r="C36" s="570" t="n">
        <v>0</v>
      </c>
      <c r="D36" s="570" t="n">
        <v>0</v>
      </c>
      <c r="E36" s="1131" t="n">
        <v>4950</v>
      </c>
      <c r="F36" s="1131" t="n">
        <v>2650</v>
      </c>
      <c r="G36" s="570" t="n">
        <v>0</v>
      </c>
      <c r="H36" s="569">
        <f>SUM(B36:G36)</f>
        <v/>
      </c>
    </row>
    <row r="37" ht="15" customHeight="1" s="562">
      <c r="A37" s="1152" t="inlineStr">
        <is>
          <t>Mbali Ndaba</t>
        </is>
      </c>
      <c r="B37" s="1154" t="n">
        <v>0</v>
      </c>
      <c r="C37" s="1154" t="n">
        <v>0</v>
      </c>
      <c r="D37" s="1154" t="n">
        <v>0</v>
      </c>
      <c r="E37" s="1153" t="n">
        <v>1350</v>
      </c>
      <c r="F37" s="1153" t="n">
        <v>5800</v>
      </c>
      <c r="G37" s="1154" t="n">
        <v>0</v>
      </c>
      <c r="H37" s="1155">
        <f>SUM(B37:G37)</f>
        <v/>
      </c>
    </row>
    <row r="38" ht="15" customHeight="1" s="562">
      <c r="A38" s="1152" t="inlineStr">
        <is>
          <t>Emiia Mshaba</t>
        </is>
      </c>
      <c r="B38" s="1154" t="n">
        <v>0</v>
      </c>
      <c r="C38" s="1154" t="n">
        <v>0</v>
      </c>
      <c r="D38" s="1154" t="n">
        <v>0</v>
      </c>
      <c r="E38" s="1154" t="n">
        <v>0</v>
      </c>
      <c r="F38" s="1153" t="n">
        <v>9850</v>
      </c>
      <c r="G38" s="1154" t="n">
        <v>0</v>
      </c>
      <c r="H38" s="1155">
        <f>SUM(B38:G38)</f>
        <v/>
      </c>
    </row>
    <row r="39" ht="15" customHeight="1" s="562">
      <c r="A39" s="567" t="inlineStr">
        <is>
          <t>Philadelphia Mashaba</t>
        </is>
      </c>
      <c r="B39" s="570" t="n">
        <v>0</v>
      </c>
      <c r="C39" s="570" t="n">
        <v>0</v>
      </c>
      <c r="D39" s="570" t="n">
        <v>0</v>
      </c>
      <c r="E39" s="570" t="n">
        <v>0</v>
      </c>
      <c r="F39" s="1131" t="n">
        <v>3000</v>
      </c>
      <c r="G39" s="570" t="n">
        <v>0</v>
      </c>
      <c r="H39" s="569">
        <f>SUM(B39:G39)</f>
        <v/>
      </c>
    </row>
    <row r="40" ht="15" customHeight="1" s="562">
      <c r="A40" s="1152" t="inlineStr">
        <is>
          <t>Annika Van Rensburg</t>
        </is>
      </c>
      <c r="B40" s="1154" t="n">
        <v>0</v>
      </c>
      <c r="C40" s="1154" t="n">
        <v>0</v>
      </c>
      <c r="D40" s="1154" t="n">
        <v>0</v>
      </c>
      <c r="E40" s="1154" t="n">
        <v>0</v>
      </c>
      <c r="F40" s="1153" t="n">
        <v>9170</v>
      </c>
      <c r="G40" s="1154" t="n">
        <v>0</v>
      </c>
      <c r="H40" s="1155">
        <f>SUM(B40:G40)</f>
        <v/>
      </c>
    </row>
    <row r="41" ht="15" customHeight="1" s="562">
      <c r="A41" s="567" t="inlineStr">
        <is>
          <t>Fortunate Mabizela</t>
        </is>
      </c>
      <c r="B41" s="570" t="n">
        <v>0</v>
      </c>
      <c r="C41" s="570" t="n">
        <v>0</v>
      </c>
      <c r="D41" s="570" t="n">
        <v>0</v>
      </c>
      <c r="E41" s="570" t="n">
        <v>0</v>
      </c>
      <c r="F41" s="1131" t="n">
        <v>5800</v>
      </c>
      <c r="G41" s="570" t="n">
        <v>0</v>
      </c>
      <c r="H41" s="569">
        <f>SUM(B41:G41)</f>
        <v/>
      </c>
    </row>
    <row r="42" ht="15" customHeight="1" s="562">
      <c r="A42" s="567" t="inlineStr">
        <is>
          <t>Beauty Masopye</t>
        </is>
      </c>
      <c r="B42" s="570" t="n">
        <v>0</v>
      </c>
      <c r="C42" s="570" t="n">
        <v>0</v>
      </c>
      <c r="D42" s="570" t="n">
        <v>0</v>
      </c>
      <c r="E42" s="570" t="n">
        <v>0</v>
      </c>
      <c r="F42" s="1131" t="n">
        <v>4900</v>
      </c>
      <c r="G42" s="570" t="n">
        <v>0</v>
      </c>
      <c r="H42" s="569">
        <f>SUM(B42:G42)</f>
        <v/>
      </c>
    </row>
    <row r="43" ht="15" customHeight="1" s="562">
      <c r="A43" s="567" t="inlineStr">
        <is>
          <t>Thalitha Managa</t>
        </is>
      </c>
      <c r="B43" s="570" t="n">
        <v>0</v>
      </c>
      <c r="C43" s="570" t="n">
        <v>0</v>
      </c>
      <c r="D43" s="570" t="n">
        <v>0</v>
      </c>
      <c r="E43" s="570" t="n">
        <v>0</v>
      </c>
      <c r="F43" s="1131" t="n">
        <v>2000</v>
      </c>
      <c r="G43" s="570" t="n">
        <v>0</v>
      </c>
      <c r="H43" s="569">
        <f>SUM(B43:G43)</f>
        <v/>
      </c>
    </row>
    <row r="44" ht="15" customHeight="1" s="562">
      <c r="A44" s="1152" t="inlineStr">
        <is>
          <t>Dolly Chauke</t>
        </is>
      </c>
      <c r="B44" s="1154" t="n">
        <v>0</v>
      </c>
      <c r="C44" s="1154" t="n">
        <v>0</v>
      </c>
      <c r="D44" s="1154" t="n">
        <v>0</v>
      </c>
      <c r="E44" s="1154" t="n">
        <v>0</v>
      </c>
      <c r="F44" s="1153" t="n">
        <v>3000</v>
      </c>
      <c r="G44" s="1154" t="n">
        <v>0</v>
      </c>
      <c r="H44" s="1155">
        <f>SUM(B44:G44)</f>
        <v/>
      </c>
    </row>
    <row r="45" ht="15" customHeight="1" s="562">
      <c r="A45" s="567" t="inlineStr">
        <is>
          <t>Annie Mabuto</t>
        </is>
      </c>
      <c r="B45" s="570" t="n">
        <v>0</v>
      </c>
      <c r="C45" s="570" t="n">
        <v>0</v>
      </c>
      <c r="D45" s="570" t="n">
        <v>0</v>
      </c>
      <c r="E45" s="570" t="n">
        <v>0</v>
      </c>
      <c r="F45" s="1131" t="n">
        <v>2650</v>
      </c>
      <c r="G45" s="570" t="n">
        <v>0</v>
      </c>
      <c r="H45" s="569">
        <f>SUM(B45:G45)</f>
        <v/>
      </c>
    </row>
    <row r="46" ht="15" customHeight="1" s="562">
      <c r="A46" s="571" t="inlineStr">
        <is>
          <t>TOTAL</t>
        </is>
      </c>
      <c r="B46" s="569">
        <f>SUM(B4:B45)</f>
        <v/>
      </c>
      <c r="C46" s="569">
        <f>SUM(C4:C45)</f>
        <v/>
      </c>
      <c r="D46" s="569">
        <f>SUM(D4:D45)</f>
        <v/>
      </c>
      <c r="E46" s="569">
        <f>SUM(E4:E45)</f>
        <v/>
      </c>
      <c r="F46" s="569">
        <f>SUM(F4:F45)</f>
        <v/>
      </c>
      <c r="G46" s="569">
        <f>SUM(G4:G45)</f>
        <v/>
      </c>
      <c r="H46" s="569">
        <f>SUM(H4:H45)</f>
        <v/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4921875" defaultRowHeight="15" customHeight="0" zeroHeight="0" outlineLevelRow="0"/>
  <cols>
    <col width="38" customWidth="1" style="561" min="1" max="1"/>
    <col width="15" customWidth="1" style="561" min="2" max="7"/>
  </cols>
  <sheetData>
    <row r="1" ht="17.35" customHeight="1" s="562">
      <c r="A1" s="563" t="inlineStr">
        <is>
          <t>TCH Holdings – Gross Margin Summary (ZAR)</t>
        </is>
      </c>
      <c r="B1" s="564" t="n"/>
      <c r="C1" s="564" t="n"/>
      <c r="D1" s="564" t="n"/>
      <c r="E1" s="564" t="n"/>
      <c r="F1" s="564" t="n"/>
      <c r="G1" s="564" t="n"/>
      <c r="H1" s="565" t="n"/>
    </row>
    <row r="3" ht="15" customHeight="1" s="562">
      <c r="A3" s="574" t="inlineStr">
        <is>
          <t>CONSOLIDATED P&amp;L</t>
        </is>
      </c>
    </row>
    <row r="5" ht="15" customHeight="1" s="562">
      <c r="A5" s="575" t="n"/>
      <c r="B5" s="575" t="inlineStr">
        <is>
          <t>Nov 2025</t>
        </is>
      </c>
      <c r="C5" s="575" t="inlineStr">
        <is>
          <t>Dec 2025</t>
        </is>
      </c>
      <c r="D5" s="575" t="inlineStr">
        <is>
          <t>Jan 2026</t>
        </is>
      </c>
      <c r="E5" s="575" t="inlineStr">
        <is>
          <t>Feb 2026</t>
        </is>
      </c>
      <c r="F5" s="575" t="inlineStr">
        <is>
          <t>Mar 2026</t>
        </is>
      </c>
      <c r="G5" s="575" t="inlineStr">
        <is>
          <t>Apr 2026</t>
        </is>
      </c>
      <c r="H5" s="575" t="inlineStr">
        <is>
          <t>Total</t>
        </is>
      </c>
    </row>
    <row r="6" ht="15" customHeight="1" s="562">
      <c r="A6" s="576" t="inlineStr">
        <is>
          <t>Total Client Revenue</t>
        </is>
      </c>
      <c r="B6" s="570">
        <f>'Client Summary'!B57</f>
        <v/>
      </c>
      <c r="C6" s="570">
        <f>'Client Summary'!C57</f>
        <v/>
      </c>
      <c r="D6" s="570">
        <f>'Client Summary'!D57</f>
        <v/>
      </c>
      <c r="E6" s="570">
        <f>'Client Summary'!E57</f>
        <v/>
      </c>
      <c r="F6" s="570">
        <f>'Client Summary'!F57</f>
        <v/>
      </c>
      <c r="G6" s="570">
        <f>'Client Summary'!G57</f>
        <v/>
      </c>
      <c r="H6" s="570">
        <f>'Client Summary'!H57</f>
        <v/>
      </c>
    </row>
    <row r="7" ht="15" customHeight="1" s="562">
      <c r="A7" s="576" t="inlineStr">
        <is>
          <t>Total Caregiver Cost</t>
        </is>
      </c>
      <c r="B7" s="570">
        <f>'Caregiver Summary'!B46</f>
        <v/>
      </c>
      <c r="C7" s="570">
        <f>'Caregiver Summary'!C46</f>
        <v/>
      </c>
      <c r="D7" s="570">
        <f>'Caregiver Summary'!D46</f>
        <v/>
      </c>
      <c r="E7" s="570">
        <f>'Caregiver Summary'!E46</f>
        <v/>
      </c>
      <c r="F7" s="570">
        <f>'Caregiver Summary'!F46</f>
        <v/>
      </c>
      <c r="G7" s="570">
        <f>'Caregiver Summary'!G46</f>
        <v/>
      </c>
      <c r="H7" s="570">
        <f>'Caregiver Summary'!H46</f>
        <v/>
      </c>
    </row>
    <row r="8" ht="15" customHeight="1" s="562">
      <c r="A8" s="577" t="inlineStr">
        <is>
          <t>Gross Margin</t>
        </is>
      </c>
      <c r="B8" s="578">
        <f>B6-B7</f>
        <v/>
      </c>
      <c r="C8" s="578">
        <f>C6-C7</f>
        <v/>
      </c>
      <c r="D8" s="578">
        <f>D6-D7</f>
        <v/>
      </c>
      <c r="E8" s="578">
        <f>E6-E7</f>
        <v/>
      </c>
      <c r="F8" s="578">
        <f>F6-F7</f>
        <v/>
      </c>
      <c r="G8" s="578">
        <f>G6-G7</f>
        <v/>
      </c>
      <c r="H8" s="578">
        <f>H6-H7</f>
        <v/>
      </c>
    </row>
    <row r="9" ht="15" customHeight="1" s="562">
      <c r="A9" s="576" t="inlineStr">
        <is>
          <t>Gross Margin %</t>
        </is>
      </c>
      <c r="B9" s="579">
        <f>IF(B6=0,0,B8/B6)</f>
        <v/>
      </c>
      <c r="C9" s="579">
        <f>IF(C6=0,0,C8/C6)</f>
        <v/>
      </c>
      <c r="D9" s="579">
        <f>IF(D6=0,0,D8/D6)</f>
        <v/>
      </c>
      <c r="E9" s="579">
        <f>IF(E6=0,0,E8/E6)</f>
        <v/>
      </c>
      <c r="F9" s="579">
        <f>IF(F6=0,0,F8/F6)</f>
        <v/>
      </c>
      <c r="G9" s="579">
        <f>IF(G6=0,0,G8/G6)</f>
        <v/>
      </c>
      <c r="H9" s="579">
        <f>IF(H6=0,0,H8/H6)</f>
        <v/>
      </c>
    </row>
    <row r="11" ht="15" customHeight="1" s="562">
      <c r="A11" s="580" t="inlineStr">
        <is>
          <t>Note: Apr 2026 caregiver sheet is empty — margin for Apr reflects revenue only.</t>
        </is>
      </c>
      <c r="B11" s="564" t="n"/>
      <c r="C11" s="564" t="n"/>
      <c r="D11" s="564" t="n"/>
      <c r="E11" s="564" t="n"/>
      <c r="F11" s="564" t="n"/>
      <c r="G11" s="564" t="n"/>
      <c r="H11" s="565" t="n"/>
    </row>
    <row r="13" ht="15" customHeight="1" s="562">
      <c r="A13" s="574" t="inlineStr">
        <is>
          <t>PER-CLIENT MARGIN (Nov–Dec 2025, where expense data available)</t>
        </is>
      </c>
      <c r="B13" s="564" t="n"/>
      <c r="C13" s="564" t="n"/>
      <c r="D13" s="564" t="n"/>
      <c r="E13" s="564" t="n"/>
      <c r="F13" s="564" t="n"/>
      <c r="G13" s="564" t="n"/>
      <c r="H13" s="565" t="n"/>
    </row>
    <row r="15" ht="15" customHeight="1" s="562">
      <c r="A15" s="575" t="inlineStr">
        <is>
          <t>Client</t>
        </is>
      </c>
      <c r="B15" s="575" t="inlineStr">
        <is>
          <t>Income</t>
        </is>
      </c>
      <c r="C15" s="575" t="inlineStr">
        <is>
          <t>Expense</t>
        </is>
      </c>
      <c r="D15" s="575" t="inlineStr">
        <is>
          <t>Margin</t>
        </is>
      </c>
      <c r="E15" s="575" t="inlineStr">
        <is>
          <t>Margin %</t>
        </is>
      </c>
      <c r="F15" s="575" t="inlineStr">
        <is>
          <t>Month</t>
        </is>
      </c>
      <c r="G15" s="575" t="inlineStr">
        <is>
          <t>Source Sheet</t>
        </is>
      </c>
    </row>
    <row r="16" ht="15" customHeight="1" s="562">
      <c r="A16" s="567" t="inlineStr">
        <is>
          <t>Johnstons</t>
        </is>
      </c>
      <c r="B16" s="1131" t="n">
        <v>24000</v>
      </c>
      <c r="C16" s="570" t="n">
        <v>19400</v>
      </c>
      <c r="D16" s="570" t="n">
        <v>4600</v>
      </c>
      <c r="E16" s="581" t="n">
        <v>0.191666666666667</v>
      </c>
      <c r="F16" s="567" t="inlineStr">
        <is>
          <t>Nov 2025</t>
        </is>
      </c>
      <c r="G16" s="567" t="inlineStr">
        <is>
          <t>Clients Nov 2025</t>
        </is>
      </c>
    </row>
    <row r="17" ht="15" customHeight="1" s="562">
      <c r="A17" s="567" t="inlineStr">
        <is>
          <t>Van Der Linde</t>
        </is>
      </c>
      <c r="B17" s="1131" t="n">
        <v>22200</v>
      </c>
      <c r="C17" s="570" t="n">
        <v>14441</v>
      </c>
      <c r="D17" s="570" t="n">
        <v>7759</v>
      </c>
      <c r="E17" s="581" t="n">
        <v>0.349504504504505</v>
      </c>
      <c r="F17" s="567" t="inlineStr">
        <is>
          <t>Nov 2025</t>
        </is>
      </c>
      <c r="G17" s="567" t="inlineStr">
        <is>
          <t>Clients Nov 2025</t>
        </is>
      </c>
    </row>
    <row r="18" ht="15" customHeight="1" s="562">
      <c r="A18" s="567" t="inlineStr">
        <is>
          <t>Hennie</t>
        </is>
      </c>
      <c r="B18" s="1131" t="n">
        <v>18600</v>
      </c>
      <c r="C18" s="570" t="n">
        <v>13471</v>
      </c>
      <c r="D18" s="570" t="n">
        <v>5129</v>
      </c>
      <c r="E18" s="581" t="n">
        <v>0.275752688172043</v>
      </c>
      <c r="F18" s="567" t="inlineStr">
        <is>
          <t>Nov 2025</t>
        </is>
      </c>
      <c r="G18" s="567" t="inlineStr">
        <is>
          <t>Clients Nov 2025</t>
        </is>
      </c>
    </row>
    <row r="19" ht="15" customHeight="1" s="562">
      <c r="A19" s="567" t="inlineStr">
        <is>
          <t>John Bierman</t>
        </is>
      </c>
      <c r="B19" s="1131" t="n">
        <v>16000</v>
      </c>
      <c r="C19" s="570" t="n">
        <v>6450</v>
      </c>
      <c r="D19" s="570" t="n">
        <v>9550</v>
      </c>
      <c r="E19" s="581" t="n">
        <v>0.596875</v>
      </c>
      <c r="F19" s="567" t="inlineStr">
        <is>
          <t>Nov 2025</t>
        </is>
      </c>
      <c r="G19" s="567" t="inlineStr">
        <is>
          <t>Clients Nov 2025</t>
        </is>
      </c>
    </row>
    <row r="20" ht="15" customHeight="1" s="562">
      <c r="A20" s="567" t="inlineStr">
        <is>
          <t>Hillery</t>
        </is>
      </c>
      <c r="B20" s="1131" t="n">
        <v>3800</v>
      </c>
      <c r="C20" s="570" t="n">
        <v>2250</v>
      </c>
      <c r="D20" s="570" t="n">
        <v>1550</v>
      </c>
      <c r="E20" s="581" t="n">
        <v>0.407894736842105</v>
      </c>
      <c r="F20" s="567" t="inlineStr">
        <is>
          <t>Nov 2025</t>
        </is>
      </c>
      <c r="G20" s="567" t="inlineStr">
        <is>
          <t>Clients Nov 2025</t>
        </is>
      </c>
    </row>
    <row r="21" ht="15" customHeight="1" s="562">
      <c r="A21" s="567" t="inlineStr">
        <is>
          <t>Van Vuuren</t>
        </is>
      </c>
      <c r="B21" s="1131" t="n">
        <v>23200</v>
      </c>
      <c r="C21" s="570" t="n">
        <v>10800</v>
      </c>
      <c r="D21" s="570" t="n">
        <v>12400</v>
      </c>
      <c r="E21" s="581" t="n">
        <v>0.5344827586206899</v>
      </c>
      <c r="F21" s="567" t="inlineStr">
        <is>
          <t>Nov 2025</t>
        </is>
      </c>
      <c r="G21" s="567" t="inlineStr">
        <is>
          <t>Clients Nov 2025</t>
        </is>
      </c>
    </row>
    <row r="22" ht="15" customHeight="1" s="562">
      <c r="A22" s="567" t="inlineStr">
        <is>
          <t>Trevor Botes</t>
        </is>
      </c>
      <c r="B22" s="1131" t="n">
        <v>15000</v>
      </c>
      <c r="C22" s="570" t="n">
        <v>8450</v>
      </c>
      <c r="D22" s="570" t="n">
        <v>6550</v>
      </c>
      <c r="E22" s="581" t="n">
        <v>0.436666666666667</v>
      </c>
      <c r="F22" s="567" t="inlineStr">
        <is>
          <t>Nov 2025</t>
        </is>
      </c>
      <c r="G22" s="567" t="inlineStr">
        <is>
          <t>Clients Nov 2025</t>
        </is>
      </c>
    </row>
    <row r="23" ht="15" customHeight="1" s="562">
      <c r="A23" s="567" t="inlineStr">
        <is>
          <t>Johann Roos</t>
        </is>
      </c>
      <c r="B23" s="1131" t="n">
        <v>14000</v>
      </c>
      <c r="C23" s="570" t="n">
        <v>7000</v>
      </c>
      <c r="D23" s="570" t="n">
        <v>7000</v>
      </c>
      <c r="E23" s="581" t="n">
        <v>0.5</v>
      </c>
      <c r="F23" s="567" t="inlineStr">
        <is>
          <t>Nov 2025</t>
        </is>
      </c>
      <c r="G23" s="567" t="inlineStr">
        <is>
          <t>Clients Nov 2025</t>
        </is>
      </c>
    </row>
    <row r="24" ht="15" customHeight="1" s="562">
      <c r="A24" s="567" t="inlineStr">
        <is>
          <t>Ishaan/Elizabth</t>
        </is>
      </c>
      <c r="B24" s="1131" t="n">
        <v>13300</v>
      </c>
      <c r="C24" s="570" t="n">
        <v>6300</v>
      </c>
      <c r="D24" s="570" t="n">
        <v>7000</v>
      </c>
      <c r="E24" s="581" t="n">
        <v>0.526315789473684</v>
      </c>
      <c r="F24" s="567" t="inlineStr">
        <is>
          <t>Nov 2025</t>
        </is>
      </c>
      <c r="G24" s="567" t="inlineStr">
        <is>
          <t>Clients Nov 2025</t>
        </is>
      </c>
    </row>
    <row r="25" ht="15" customHeight="1" s="562">
      <c r="A25" s="567" t="inlineStr">
        <is>
          <t>Androilla/ Praxia</t>
        </is>
      </c>
      <c r="B25" s="1131" t="n">
        <v>21000</v>
      </c>
      <c r="C25" s="570" t="n">
        <v>11250</v>
      </c>
      <c r="D25" s="570" t="n">
        <v>9750</v>
      </c>
      <c r="E25" s="581" t="n">
        <v>0.464285714285714</v>
      </c>
      <c r="F25" s="567" t="inlineStr">
        <is>
          <t>Nov 2025</t>
        </is>
      </c>
      <c r="G25" s="567" t="inlineStr">
        <is>
          <t>Clients Nov 2025</t>
        </is>
      </c>
    </row>
    <row r="26" ht="15" customHeight="1" s="562">
      <c r="A26" s="567" t="inlineStr">
        <is>
          <t>Jacomina/Charl</t>
        </is>
      </c>
      <c r="B26" s="1131" t="n">
        <v>3800</v>
      </c>
      <c r="C26" s="570" t="n">
        <v>9900</v>
      </c>
      <c r="D26" s="570" t="n">
        <v>-6100</v>
      </c>
      <c r="E26" s="581" t="n">
        <v>-1.60526315789474</v>
      </c>
      <c r="F26" s="567" t="inlineStr">
        <is>
          <t>Nov 2025</t>
        </is>
      </c>
      <c r="G26" s="567" t="inlineStr">
        <is>
          <t>Clients Nov 2025</t>
        </is>
      </c>
    </row>
    <row r="27" ht="15" customHeight="1" s="562">
      <c r="A27" s="567" t="inlineStr">
        <is>
          <t>Herman/Rene</t>
        </is>
      </c>
      <c r="B27" s="1131" t="n">
        <v>4250</v>
      </c>
      <c r="C27" s="570" t="n">
        <v>2250</v>
      </c>
      <c r="D27" s="570" t="n">
        <v>2000</v>
      </c>
      <c r="E27" s="581" t="n">
        <v>0.470588235294118</v>
      </c>
      <c r="F27" s="567" t="inlineStr">
        <is>
          <t>Nov 2025</t>
        </is>
      </c>
      <c r="G27" s="567" t="inlineStr">
        <is>
          <t>Clients Nov 2025</t>
        </is>
      </c>
    </row>
    <row r="28" ht="15" customHeight="1" s="562">
      <c r="A28" s="567" t="inlineStr">
        <is>
          <t>Lorraine Hatton</t>
        </is>
      </c>
      <c r="B28" s="1131" t="n">
        <v>1700</v>
      </c>
      <c r="C28" s="570" t="n">
        <v>750</v>
      </c>
      <c r="D28" s="570" t="n">
        <v>950</v>
      </c>
      <c r="E28" s="581" t="n">
        <v>0.5588235294117651</v>
      </c>
      <c r="F28" s="567" t="inlineStr">
        <is>
          <t>Nov 2025</t>
        </is>
      </c>
      <c r="G28" s="567" t="inlineStr">
        <is>
          <t>Clients Nov 2025</t>
        </is>
      </c>
    </row>
    <row r="29" ht="15" customHeight="1" s="562">
      <c r="A29" s="567" t="inlineStr">
        <is>
          <t>Johanna Van Heerden</t>
        </is>
      </c>
      <c r="B29" s="1131" t="n">
        <v>4500</v>
      </c>
      <c r="C29" s="570" t="n">
        <v>2700</v>
      </c>
      <c r="D29" s="570" t="n">
        <v>1800</v>
      </c>
      <c r="E29" s="581" t="n">
        <v>0.4</v>
      </c>
      <c r="F29" s="567" t="inlineStr">
        <is>
          <t>Nov 2025</t>
        </is>
      </c>
      <c r="G29" s="567" t="inlineStr">
        <is>
          <t>Clients Nov 2025</t>
        </is>
      </c>
    </row>
    <row r="30" ht="15" customHeight="1" s="562">
      <c r="A30" s="567" t="inlineStr">
        <is>
          <t>Johnstons</t>
        </is>
      </c>
      <c r="B30" s="1131" t="n">
        <v>24800</v>
      </c>
      <c r="C30" s="570" t="n">
        <v>16350</v>
      </c>
      <c r="D30" s="570" t="n">
        <v>8450</v>
      </c>
      <c r="E30" s="581" t="n">
        <v>0.340725806451613</v>
      </c>
      <c r="F30" s="567" t="inlineStr">
        <is>
          <t>Dec 2025</t>
        </is>
      </c>
      <c r="G30" s="567" t="inlineStr">
        <is>
          <t>Clients Dec 2025</t>
        </is>
      </c>
    </row>
    <row r="31" ht="15" customHeight="1" s="562">
      <c r="A31" s="567" t="inlineStr">
        <is>
          <t>Van Der Linde</t>
        </is>
      </c>
      <c r="B31" s="1131" t="n">
        <v>22200</v>
      </c>
      <c r="C31" s="570" t="n">
        <v>15539</v>
      </c>
      <c r="D31" s="570" t="n">
        <v>6661</v>
      </c>
      <c r="E31" s="581" t="n">
        <v>0.300045045045045</v>
      </c>
      <c r="F31" s="567" t="inlineStr">
        <is>
          <t>Dec 2025</t>
        </is>
      </c>
      <c r="G31" s="567" t="inlineStr">
        <is>
          <t>Clients Dec 2025</t>
        </is>
      </c>
    </row>
    <row r="32" ht="15" customHeight="1" s="562">
      <c r="A32" s="567" t="inlineStr">
        <is>
          <t>Hennie</t>
        </is>
      </c>
      <c r="B32" s="1131" t="n">
        <v>4650</v>
      </c>
      <c r="C32" s="570" t="n">
        <v>5416</v>
      </c>
      <c r="D32" s="570" t="n">
        <v>-766</v>
      </c>
      <c r="E32" s="581" t="n">
        <v>-0.164731182795699</v>
      </c>
      <c r="F32" s="567" t="inlineStr">
        <is>
          <t>Dec 2025</t>
        </is>
      </c>
      <c r="G32" s="567" t="inlineStr">
        <is>
          <t>Clients Dec 2025</t>
        </is>
      </c>
    </row>
    <row r="33" ht="15" customHeight="1" s="562">
      <c r="A33" s="567" t="inlineStr">
        <is>
          <t>John Bierman</t>
        </is>
      </c>
      <c r="B33" s="1131" t="n">
        <v>18400</v>
      </c>
      <c r="C33" s="570" t="n">
        <v>9400</v>
      </c>
      <c r="D33" s="570" t="n">
        <v>9000</v>
      </c>
      <c r="E33" s="581" t="n">
        <v>0.489130434782609</v>
      </c>
      <c r="F33" s="567" t="inlineStr">
        <is>
          <t>Dec 2025</t>
        </is>
      </c>
      <c r="G33" s="567" t="inlineStr">
        <is>
          <t>Clients Dec 2025</t>
        </is>
      </c>
    </row>
    <row r="34" ht="15" customHeight="1" s="562">
      <c r="A34" s="567" t="inlineStr">
        <is>
          <t>Hillery</t>
        </is>
      </c>
      <c r="B34" s="1131" t="n">
        <v>2850</v>
      </c>
      <c r="C34" s="570" t="n">
        <v>1800</v>
      </c>
      <c r="D34" s="570" t="n">
        <v>1050</v>
      </c>
      <c r="E34" s="581" t="n">
        <v>0.368421052631579</v>
      </c>
      <c r="F34" s="567" t="inlineStr">
        <is>
          <t>Dec 2025</t>
        </is>
      </c>
      <c r="G34" s="567" t="inlineStr">
        <is>
          <t>Clients Dec 2025</t>
        </is>
      </c>
    </row>
    <row r="35" ht="15" customHeight="1" s="562">
      <c r="A35" s="567" t="inlineStr">
        <is>
          <t>Julian Sam</t>
        </is>
      </c>
      <c r="B35" s="1131" t="n">
        <v>15250</v>
      </c>
      <c r="C35" s="570" t="n">
        <v>9450</v>
      </c>
      <c r="D35" s="570" t="n">
        <v>5800</v>
      </c>
      <c r="E35" s="581" t="n">
        <v>0.380327868852459</v>
      </c>
      <c r="F35" s="567" t="inlineStr">
        <is>
          <t>Dec 2025</t>
        </is>
      </c>
      <c r="G35" s="567" t="inlineStr">
        <is>
          <t>Clients Dec 2025</t>
        </is>
      </c>
    </row>
    <row r="36" ht="15" customHeight="1" s="562">
      <c r="A36" s="567" t="inlineStr">
        <is>
          <t>Trevor Botes</t>
        </is>
      </c>
      <c r="B36" s="1131" t="n">
        <v>16500</v>
      </c>
      <c r="C36" s="570" t="n">
        <v>8750</v>
      </c>
      <c r="D36" s="570" t="n">
        <v>7750</v>
      </c>
      <c r="E36" s="581" t="n">
        <v>0.46969696969697</v>
      </c>
      <c r="F36" s="567" t="inlineStr">
        <is>
          <t>Dec 2025</t>
        </is>
      </c>
      <c r="G36" s="567" t="inlineStr">
        <is>
          <t>Clients Dec 2025</t>
        </is>
      </c>
    </row>
    <row r="37" ht="15" customHeight="1" s="562">
      <c r="A37" s="567" t="inlineStr">
        <is>
          <t>Johann Roos</t>
        </is>
      </c>
      <c r="B37" s="1131" t="n">
        <v>11900</v>
      </c>
      <c r="C37" s="570" t="n">
        <v>5150</v>
      </c>
      <c r="D37" s="570" t="n">
        <v>6750</v>
      </c>
      <c r="E37" s="581" t="n">
        <v>0.5672268907563029</v>
      </c>
      <c r="F37" s="567" t="inlineStr">
        <is>
          <t>Dec 2025</t>
        </is>
      </c>
      <c r="G37" s="567" t="inlineStr">
        <is>
          <t>Clients Dec 2025</t>
        </is>
      </c>
    </row>
    <row r="38" ht="15" customHeight="1" s="562">
      <c r="A38" s="567" t="inlineStr">
        <is>
          <t>Dirk Le Roux</t>
        </is>
      </c>
      <c r="B38" s="1131" t="n">
        <v>10850</v>
      </c>
      <c r="C38" s="570" t="n">
        <v>6750</v>
      </c>
      <c r="D38" s="570" t="n">
        <v>4100</v>
      </c>
      <c r="E38" s="581" t="n">
        <v>0.377880184331797</v>
      </c>
      <c r="F38" s="567" t="inlineStr">
        <is>
          <t>Dec 2025</t>
        </is>
      </c>
      <c r="G38" s="567" t="inlineStr">
        <is>
          <t>Clients Dec 2025</t>
        </is>
      </c>
    </row>
    <row r="39" ht="15" customHeight="1" s="562">
      <c r="A39" s="567" t="inlineStr">
        <is>
          <t>Androilla/ Praxia</t>
        </is>
      </c>
      <c r="B39" s="1131" t="n">
        <v>7500</v>
      </c>
      <c r="C39" s="570" t="n">
        <v>5850</v>
      </c>
      <c r="D39" s="570" t="n">
        <v>1650</v>
      </c>
      <c r="E39" s="581" t="n">
        <v>0.22</v>
      </c>
      <c r="F39" s="567" t="inlineStr">
        <is>
          <t>Dec 2025</t>
        </is>
      </c>
      <c r="G39" s="567" t="inlineStr">
        <is>
          <t>Clients Dec 2025</t>
        </is>
      </c>
    </row>
    <row r="40" ht="15" customHeight="1" s="562">
      <c r="A40" s="567" t="inlineStr">
        <is>
          <t>Lucy</t>
        </is>
      </c>
      <c r="B40" s="1131" t="n">
        <v>5250</v>
      </c>
      <c r="C40" s="570" t="n">
        <v>3150</v>
      </c>
      <c r="D40" s="570" t="n">
        <v>2100</v>
      </c>
      <c r="E40" s="581" t="n">
        <v>0.4</v>
      </c>
      <c r="F40" s="567" t="inlineStr">
        <is>
          <t>Dec 2025</t>
        </is>
      </c>
      <c r="G40" s="567" t="inlineStr">
        <is>
          <t>Clients Dec 2025</t>
        </is>
      </c>
    </row>
    <row r="41" ht="15" customHeight="1" s="562">
      <c r="A41" s="567" t="inlineStr">
        <is>
          <t>Mia Rus</t>
        </is>
      </c>
      <c r="B41" s="1131" t="n">
        <v>9387</v>
      </c>
      <c r="C41" s="570" t="n">
        <v>4950</v>
      </c>
      <c r="D41" s="570" t="n">
        <v>4437</v>
      </c>
      <c r="E41" s="581" t="n">
        <v>0.472674976030681</v>
      </c>
      <c r="F41" s="567" t="inlineStr">
        <is>
          <t>Dec 2025</t>
        </is>
      </c>
      <c r="G41" s="567" t="inlineStr">
        <is>
          <t>Clients Dec 2025</t>
        </is>
      </c>
    </row>
    <row r="42" ht="15" customHeight="1" s="562">
      <c r="A42" s="567" t="inlineStr">
        <is>
          <t>Johanna Van Heerden</t>
        </is>
      </c>
      <c r="B42" s="1131" t="n">
        <v>23250</v>
      </c>
      <c r="C42" s="570" t="n">
        <v>13950</v>
      </c>
      <c r="D42" s="570" t="n">
        <v>9300</v>
      </c>
      <c r="E42" s="581" t="n">
        <v>0.4</v>
      </c>
      <c r="F42" s="567" t="inlineStr">
        <is>
          <t>Dec 2025</t>
        </is>
      </c>
      <c r="G42" s="567" t="inlineStr">
        <is>
          <t>Clients Dec 2025</t>
        </is>
      </c>
    </row>
    <row r="43" ht="15" customHeight="1" s="562">
      <c r="A43" s="567" t="inlineStr">
        <is>
          <t>Andre Theron</t>
        </is>
      </c>
      <c r="B43" s="1131" t="n">
        <v>15950</v>
      </c>
      <c r="C43" s="570" t="n">
        <v>9459</v>
      </c>
      <c r="D43" s="570" t="n">
        <v>6491</v>
      </c>
      <c r="E43" s="581" t="n">
        <v>0.406959247648903</v>
      </c>
      <c r="F43" s="567" t="inlineStr">
        <is>
          <t>Dec 2025</t>
        </is>
      </c>
      <c r="G43" s="567" t="inlineStr">
        <is>
          <t>Clients Dec 2025</t>
        </is>
      </c>
    </row>
    <row r="44" ht="15" customHeight="1" s="562">
      <c r="A44" s="567" t="inlineStr">
        <is>
          <t>Angela/ Dimitri Paoadopoulos</t>
        </is>
      </c>
      <c r="B44" s="1131" t="n">
        <v>13300</v>
      </c>
      <c r="C44" s="570" t="n">
        <v>5850</v>
      </c>
      <c r="D44" s="570" t="n">
        <v>7450</v>
      </c>
      <c r="E44" s="581" t="n">
        <v>0.56015037593985</v>
      </c>
      <c r="F44" s="567" t="inlineStr">
        <is>
          <t>Dec 2025</t>
        </is>
      </c>
      <c r="G44" s="567" t="inlineStr">
        <is>
          <t>Clients Dec 2025</t>
        </is>
      </c>
    </row>
    <row r="45" ht="15" customHeight="1" s="562">
      <c r="A45" s="567" t="inlineStr">
        <is>
          <t>Marlanie</t>
        </is>
      </c>
      <c r="B45" s="1131" t="n">
        <v>1800</v>
      </c>
      <c r="C45" s="570" t="n">
        <v>450</v>
      </c>
      <c r="D45" s="570" t="n">
        <v>1350</v>
      </c>
      <c r="E45" s="581" t="n">
        <v>0.75</v>
      </c>
      <c r="F45" s="567" t="inlineStr">
        <is>
          <t>Dec 2025</t>
        </is>
      </c>
      <c r="G45" s="567" t="inlineStr">
        <is>
          <t>Clients Dec 2025</t>
        </is>
      </c>
    </row>
    <row r="46" ht="15" customHeight="1" s="562">
      <c r="A46" s="567" t="inlineStr">
        <is>
          <t>Scroope</t>
        </is>
      </c>
      <c r="B46" s="1131" t="n">
        <v>14800</v>
      </c>
      <c r="C46" s="570" t="n">
        <v>7000</v>
      </c>
      <c r="D46" s="570" t="n">
        <v>7800</v>
      </c>
      <c r="E46" s="581" t="n">
        <v>0.527027027027027</v>
      </c>
      <c r="F46" s="567" t="inlineStr">
        <is>
          <t>Dec 2025</t>
        </is>
      </c>
      <c r="G46" s="567" t="inlineStr">
        <is>
          <t>Clients Dec 2025</t>
        </is>
      </c>
    </row>
    <row r="47" ht="15" customHeight="1" s="562">
      <c r="A47" s="567" t="inlineStr">
        <is>
          <t>Nozi</t>
        </is>
      </c>
      <c r="B47" s="1131" t="n">
        <v>3150</v>
      </c>
      <c r="C47" s="570" t="n">
        <v>1350</v>
      </c>
      <c r="D47" s="570" t="n">
        <v>1800</v>
      </c>
      <c r="E47" s="581" t="n">
        <v>0.571428571428571</v>
      </c>
      <c r="F47" s="567" t="inlineStr">
        <is>
          <t>Dec 2025</t>
        </is>
      </c>
      <c r="G47" s="567" t="inlineStr">
        <is>
          <t>Clients Dec 2025</t>
        </is>
      </c>
    </row>
    <row r="48" ht="15" customHeight="1" s="562">
      <c r="A48" s="567" t="inlineStr">
        <is>
          <t>Trish</t>
        </is>
      </c>
      <c r="B48" s="1131" t="n">
        <v>1500</v>
      </c>
      <c r="C48" s="570" t="n">
        <v>600</v>
      </c>
      <c r="D48" s="570" t="n">
        <v>900</v>
      </c>
      <c r="E48" s="581" t="n">
        <v>0.6</v>
      </c>
      <c r="F48" s="567" t="inlineStr">
        <is>
          <t>Dec 2025</t>
        </is>
      </c>
      <c r="G48" s="567" t="inlineStr">
        <is>
          <t>Clients Dec 2025</t>
        </is>
      </c>
    </row>
    <row r="49" ht="15" customHeight="1" s="562">
      <c r="A49" s="567" t="inlineStr">
        <is>
          <t>Rene Lotz/ Wilhelm</t>
        </is>
      </c>
      <c r="B49" s="1131" t="n">
        <v>13200</v>
      </c>
      <c r="C49" s="570" t="n">
        <v>0</v>
      </c>
      <c r="D49" s="570" t="n">
        <v>13200</v>
      </c>
      <c r="E49" s="581" t="n">
        <v>1</v>
      </c>
      <c r="F49" s="567" t="inlineStr">
        <is>
          <t>Jan 2026</t>
        </is>
      </c>
      <c r="G49" s="567" t="inlineStr">
        <is>
          <t>Clients Jan 2026</t>
        </is>
      </c>
    </row>
    <row r="50" ht="15" customHeight="1" s="562">
      <c r="A50" s="567" t="inlineStr">
        <is>
          <t>Natasha Naranjee</t>
        </is>
      </c>
      <c r="B50" s="1131" t="n">
        <v>10000</v>
      </c>
      <c r="C50" s="570" t="n">
        <v>0</v>
      </c>
      <c r="D50" s="570" t="n">
        <v>10000</v>
      </c>
      <c r="E50" s="581" t="n">
        <v>1</v>
      </c>
      <c r="F50" s="567" t="inlineStr">
        <is>
          <t>Jan 2026</t>
        </is>
      </c>
      <c r="G50" s="567" t="inlineStr">
        <is>
          <t>Clients Jan 2026</t>
        </is>
      </c>
    </row>
    <row r="51" ht="15" customHeight="1" s="562">
      <c r="A51" s="567" t="inlineStr">
        <is>
          <t>Julian Sam</t>
        </is>
      </c>
      <c r="B51" s="1131" t="n">
        <v>10180</v>
      </c>
      <c r="C51" s="570" t="n">
        <v>0</v>
      </c>
      <c r="D51" s="570" t="n">
        <v>10180</v>
      </c>
      <c r="E51" s="581" t="n">
        <v>1</v>
      </c>
      <c r="F51" s="567" t="inlineStr">
        <is>
          <t>Jan 2026</t>
        </is>
      </c>
      <c r="G51" s="567" t="inlineStr">
        <is>
          <t>Clients Jan 2026</t>
        </is>
      </c>
    </row>
    <row r="52" ht="15" customHeight="1" s="562">
      <c r="A52" s="567" t="inlineStr">
        <is>
          <t>Kotie Jacoba</t>
        </is>
      </c>
      <c r="B52" s="1131" t="n">
        <v>8200</v>
      </c>
      <c r="C52" s="570" t="n">
        <v>14838</v>
      </c>
      <c r="D52" s="570" t="n">
        <v>-6638</v>
      </c>
      <c r="E52" s="581" t="n">
        <v>-0.8095121951219511</v>
      </c>
      <c r="F52" s="567" t="inlineStr">
        <is>
          <t>Jan 2026</t>
        </is>
      </c>
      <c r="G52" s="567" t="inlineStr">
        <is>
          <t>Clients Jan 2026</t>
        </is>
      </c>
    </row>
    <row r="53" ht="15" customHeight="1" s="562">
      <c r="A53" s="567" t="inlineStr">
        <is>
          <t>Christina Botha (Transfer)</t>
        </is>
      </c>
      <c r="B53" s="1131" t="n">
        <v>700</v>
      </c>
      <c r="C53" s="570" t="n">
        <v>14838</v>
      </c>
      <c r="D53" s="570" t="n">
        <v>-14138</v>
      </c>
      <c r="E53" s="581" t="n">
        <v>-20.1971428571429</v>
      </c>
      <c r="F53" s="567" t="inlineStr">
        <is>
          <t>Jan 2026</t>
        </is>
      </c>
      <c r="G53" s="567" t="inlineStr">
        <is>
          <t>Clients Jan 2026</t>
        </is>
      </c>
    </row>
    <row r="54" ht="15" customHeight="1" s="562">
      <c r="A54" s="567" t="inlineStr">
        <is>
          <t>Julian Sam</t>
        </is>
      </c>
      <c r="B54" s="1131" t="n">
        <v>4072</v>
      </c>
      <c r="C54" s="570" t="n">
        <v>0</v>
      </c>
      <c r="D54" s="570" t="n">
        <v>4072</v>
      </c>
      <c r="E54" s="581" t="n">
        <v>1</v>
      </c>
      <c r="F54" s="567" t="inlineStr">
        <is>
          <t>Feb 2026</t>
        </is>
      </c>
      <c r="G54" s="567" t="inlineStr">
        <is>
          <t>Clients Feb 2026</t>
        </is>
      </c>
    </row>
    <row r="55" ht="15" customHeight="1" s="562">
      <c r="A55" s="567" t="inlineStr">
        <is>
          <t>Scroope</t>
        </is>
      </c>
      <c r="B55" s="1131" t="n">
        <v>3350</v>
      </c>
      <c r="C55" s="570" t="n">
        <v>0</v>
      </c>
      <c r="D55" s="570" t="n">
        <v>3350</v>
      </c>
      <c r="E55" s="581" t="n">
        <v>1</v>
      </c>
      <c r="F55" s="567" t="inlineStr">
        <is>
          <t>Apr 2026</t>
        </is>
      </c>
      <c r="G55" s="567" t="inlineStr">
        <is>
          <t>Client Apr 2026</t>
        </is>
      </c>
    </row>
  </sheetData>
  <mergeCells count="3">
    <mergeCell ref="A13:H13"/>
    <mergeCell ref="A11:H11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211"/>
  <sheetViews>
    <sheetView showFormulas="0" showGridLines="1" showRowColHeaders="1" showZeros="1" rightToLeft="0" tabSelected="0" showOutlineSymbols="1" defaultGridColor="1" view="normal" topLeftCell="A20" colorId="64" zoomScale="93" zoomScaleNormal="93" zoomScalePageLayoutView="100" workbookViewId="0">
      <selection pane="topLeft" activeCell="A42" activeCellId="0" sqref="A42"/>
    </sheetView>
  </sheetViews>
  <sheetFormatPr baseColWidth="8" defaultColWidth="10.4921875" defaultRowHeight="15.75" customHeight="0" zeroHeight="0" outlineLevelRow="0"/>
  <cols>
    <col width="36.5" customWidth="1" style="561" min="1" max="1"/>
    <col width="17.5" customWidth="1" style="561" min="2" max="2"/>
    <col width="20.83" customWidth="1" style="561" min="3" max="3"/>
    <col width="17.33" customWidth="1" style="561" min="4" max="4"/>
    <col width="19" customWidth="1" style="561" min="5" max="5"/>
  </cols>
  <sheetData>
    <row r="1" ht="18" customHeight="1" s="562">
      <c r="A1" s="582" t="inlineStr">
        <is>
          <t xml:space="preserve">Caregiver name </t>
        </is>
      </c>
      <c r="B1" s="583" t="inlineStr">
        <is>
          <t xml:space="preserve">Bank Name </t>
        </is>
      </c>
      <c r="C1" s="583" t="inlineStr">
        <is>
          <t xml:space="preserve">Account Number </t>
        </is>
      </c>
      <c r="D1" s="584" t="inlineStr">
        <is>
          <t xml:space="preserve">Account Type </t>
        </is>
      </c>
    </row>
    <row r="2" ht="18" customHeight="1" s="562">
      <c r="A2" s="585" t="inlineStr">
        <is>
          <t>Linda Rapuluchukwa</t>
        </is>
      </c>
      <c r="B2" s="585" t="inlineStr">
        <is>
          <t>Capitec</t>
        </is>
      </c>
      <c r="C2" s="585" t="n">
        <v>1341317429</v>
      </c>
      <c r="D2" s="585" t="inlineStr">
        <is>
          <t>Savings</t>
        </is>
      </c>
      <c r="E2" s="585" t="inlineStr">
        <is>
          <t xml:space="preserve">Daily Rate </t>
        </is>
      </c>
    </row>
    <row r="3" ht="18" customHeight="1" s="562">
      <c r="A3" s="585" t="inlineStr">
        <is>
          <t>Sophie Koga</t>
        </is>
      </c>
      <c r="B3" s="585" t="inlineStr">
        <is>
          <t xml:space="preserve">Bidvest Bank </t>
        </is>
      </c>
      <c r="C3" s="585" t="n">
        <v>78604588265</v>
      </c>
      <c r="D3" s="585" t="inlineStr">
        <is>
          <t xml:space="preserve">Current </t>
        </is>
      </c>
      <c r="E3" s="585" t="inlineStr">
        <is>
          <t xml:space="preserve">Daily Rate </t>
        </is>
      </c>
    </row>
    <row r="4" ht="18" customHeight="1" s="562">
      <c r="A4" s="585" t="inlineStr">
        <is>
          <t>Joyce Mutambiranwa</t>
        </is>
      </c>
      <c r="B4" s="585" t="inlineStr">
        <is>
          <t>FNB</t>
        </is>
      </c>
      <c r="C4" s="585" t="n">
        <v>62785415649</v>
      </c>
      <c r="D4" s="585" t="inlineStr">
        <is>
          <t xml:space="preserve">Current </t>
        </is>
      </c>
      <c r="E4" s="585" t="inlineStr">
        <is>
          <t xml:space="preserve">Daily Rate </t>
        </is>
      </c>
    </row>
    <row r="5" ht="18" customHeight="1" s="562">
      <c r="A5" s="585" t="inlineStr">
        <is>
          <t>Emily Mentula</t>
        </is>
      </c>
      <c r="B5" s="585" t="inlineStr">
        <is>
          <t>Capitec</t>
        </is>
      </c>
      <c r="C5" s="585" t="n">
        <v>1433103425</v>
      </c>
      <c r="D5" s="585" t="inlineStr">
        <is>
          <t>Savings</t>
        </is>
      </c>
      <c r="E5" s="585" t="inlineStr">
        <is>
          <t xml:space="preserve">Daily Rate </t>
        </is>
      </c>
    </row>
    <row r="6" ht="18" customHeight="1" s="562">
      <c r="A6" s="585" t="inlineStr">
        <is>
          <t>Cynthia Makondo</t>
        </is>
      </c>
      <c r="B6" s="585" t="inlineStr">
        <is>
          <t>Capitec</t>
        </is>
      </c>
      <c r="C6" s="585" t="n">
        <v>1399500110</v>
      </c>
      <c r="D6" s="585" t="inlineStr">
        <is>
          <t>Savings</t>
        </is>
      </c>
      <c r="E6" s="585" t="inlineStr">
        <is>
          <t xml:space="preserve">Daily Rate </t>
        </is>
      </c>
    </row>
    <row r="7" ht="18" customHeight="1" s="562">
      <c r="A7" s="585" t="inlineStr">
        <is>
          <t>Ruth Nnadi</t>
        </is>
      </c>
      <c r="B7" s="585" t="inlineStr">
        <is>
          <t>FNB</t>
        </is>
      </c>
      <c r="C7" s="585" t="n">
        <v>63124004473</v>
      </c>
      <c r="D7" s="585" t="inlineStr">
        <is>
          <t>Savings</t>
        </is>
      </c>
      <c r="E7" s="585" t="inlineStr">
        <is>
          <t xml:space="preserve">Daily Rate </t>
        </is>
      </c>
    </row>
    <row r="8" ht="18" customHeight="1" s="562">
      <c r="A8" s="585" t="inlineStr">
        <is>
          <t>Christina Maluleka</t>
        </is>
      </c>
      <c r="B8" s="585" t="inlineStr">
        <is>
          <t xml:space="preserve">Standard Bank </t>
        </is>
      </c>
      <c r="C8" s="585" t="n">
        <v>10078950056</v>
      </c>
      <c r="D8" s="585" t="inlineStr">
        <is>
          <t xml:space="preserve">Current </t>
        </is>
      </c>
      <c r="E8" s="585" t="inlineStr">
        <is>
          <t xml:space="preserve">Daily Rate </t>
        </is>
      </c>
    </row>
    <row r="9" ht="18" customHeight="1" s="562">
      <c r="A9" s="585" t="inlineStr">
        <is>
          <t>Mzee Mzwakhe</t>
        </is>
      </c>
      <c r="B9" s="585" t="inlineStr">
        <is>
          <t>FNB</t>
        </is>
      </c>
      <c r="C9" s="585" t="n">
        <v>63165744468</v>
      </c>
      <c r="D9" s="585" t="inlineStr">
        <is>
          <t xml:space="preserve">Current </t>
        </is>
      </c>
      <c r="E9" s="585" t="inlineStr">
        <is>
          <t xml:space="preserve">Daily Rate </t>
        </is>
      </c>
    </row>
    <row r="10" ht="18" customHeight="1" s="562">
      <c r="A10" s="585" t="inlineStr">
        <is>
          <t>Susan Murire</t>
        </is>
      </c>
      <c r="B10" s="585" t="inlineStr">
        <is>
          <t>Capitec</t>
        </is>
      </c>
      <c r="C10" s="585" t="n">
        <v>1499687921</v>
      </c>
      <c r="D10" s="585" t="inlineStr">
        <is>
          <t>Savings</t>
        </is>
      </c>
      <c r="E10" s="585" t="inlineStr">
        <is>
          <t xml:space="preserve">Daily Rate </t>
        </is>
      </c>
    </row>
    <row r="11" ht="18" customHeight="1" s="562">
      <c r="A11" s="585" t="inlineStr">
        <is>
          <t>Ndai Mapenyenye</t>
        </is>
      </c>
      <c r="B11" s="585" t="inlineStr">
        <is>
          <t>FNB</t>
        </is>
      </c>
      <c r="C11" s="585" t="n">
        <v>62353233168</v>
      </c>
      <c r="D11" s="585" t="inlineStr">
        <is>
          <t xml:space="preserve">Current </t>
        </is>
      </c>
      <c r="E11" s="585" t="inlineStr">
        <is>
          <t xml:space="preserve">Daily Rate </t>
        </is>
      </c>
    </row>
    <row r="12" ht="18" customHeight="1" s="562">
      <c r="A12" s="585" t="inlineStr">
        <is>
          <t>Adaobi Ejikeme</t>
        </is>
      </c>
      <c r="B12" s="585" t="inlineStr">
        <is>
          <t xml:space="preserve">Standard Bank </t>
        </is>
      </c>
      <c r="C12" s="586" t="n">
        <v>10225922116</v>
      </c>
      <c r="D12" s="585" t="inlineStr">
        <is>
          <t xml:space="preserve">Current </t>
        </is>
      </c>
      <c r="E12" s="585" t="inlineStr">
        <is>
          <t xml:space="preserve">Daily Rate </t>
        </is>
      </c>
    </row>
    <row r="13" ht="18" customHeight="1" s="562">
      <c r="A13" s="585" t="inlineStr">
        <is>
          <t>Merriam Maluleke</t>
        </is>
      </c>
      <c r="B13" s="585" t="inlineStr">
        <is>
          <t>Tyme Bank</t>
        </is>
      </c>
      <c r="C13" s="585" t="n">
        <v>51022803799</v>
      </c>
      <c r="D13" s="585" t="inlineStr">
        <is>
          <t>Savings</t>
        </is>
      </c>
      <c r="E13" s="585" t="inlineStr">
        <is>
          <t xml:space="preserve">Daily Rate </t>
        </is>
      </c>
    </row>
    <row r="14" ht="18" customHeight="1" s="562">
      <c r="A14" s="585" t="inlineStr">
        <is>
          <t>Jane Mokgaetsi Moekwa</t>
        </is>
      </c>
      <c r="B14" s="585" t="inlineStr">
        <is>
          <t>Capitec</t>
        </is>
      </c>
      <c r="C14" s="585" t="n">
        <v>1238120669</v>
      </c>
      <c r="D14" s="585" t="inlineStr">
        <is>
          <t>Savings</t>
        </is>
      </c>
      <c r="E14" s="585" t="inlineStr">
        <is>
          <t xml:space="preserve">Daily Rate </t>
        </is>
      </c>
    </row>
    <row r="15" ht="18" customHeight="1" s="562">
      <c r="A15" s="585" t="inlineStr">
        <is>
          <t>Sylvia Nene</t>
        </is>
      </c>
      <c r="B15" s="585" t="inlineStr">
        <is>
          <t>Capitec</t>
        </is>
      </c>
      <c r="C15" s="585" t="n">
        <v>1515302766</v>
      </c>
      <c r="D15" s="585" t="inlineStr">
        <is>
          <t>Savings</t>
        </is>
      </c>
      <c r="E15" s="585" t="inlineStr">
        <is>
          <t xml:space="preserve">Daily Rate </t>
        </is>
      </c>
    </row>
    <row r="16" ht="18" customHeight="1" s="562">
      <c r="A16" s="585" t="inlineStr">
        <is>
          <t>Matodzi Sylvia Mutavhatsindi</t>
        </is>
      </c>
      <c r="B16" s="585" t="inlineStr">
        <is>
          <t>ABSA</t>
        </is>
      </c>
      <c r="C16" s="585" t="n">
        <v>9402711351</v>
      </c>
      <c r="D16" s="585" t="inlineStr">
        <is>
          <t>Savings</t>
        </is>
      </c>
      <c r="E16" s="585" t="inlineStr">
        <is>
          <t xml:space="preserve">Daily Rate </t>
        </is>
      </c>
    </row>
    <row r="17" ht="18" customHeight="1" s="562">
      <c r="A17" s="585" t="inlineStr">
        <is>
          <t>Siphilisiwe Nkala(Patricia)</t>
        </is>
      </c>
      <c r="B17" s="585" t="inlineStr">
        <is>
          <t>ABSA</t>
        </is>
      </c>
      <c r="C17" s="585" t="n">
        <v>9364795190</v>
      </c>
      <c r="D17" s="585" t="inlineStr">
        <is>
          <t>Savings</t>
        </is>
      </c>
      <c r="E17" s="585" t="inlineStr">
        <is>
          <t xml:space="preserve">Daily Rate </t>
        </is>
      </c>
    </row>
    <row r="18" ht="18" customHeight="1" s="562">
      <c r="A18" s="585" t="inlineStr">
        <is>
          <t>Refiloe Khuzwayo</t>
        </is>
      </c>
      <c r="B18" s="585" t="inlineStr">
        <is>
          <t>Netbank</t>
        </is>
      </c>
      <c r="C18" s="585" t="n">
        <v>1311309934</v>
      </c>
      <c r="D18" s="585" t="inlineStr">
        <is>
          <t xml:space="preserve">Current </t>
        </is>
      </c>
      <c r="E18" s="585" t="inlineStr">
        <is>
          <t xml:space="preserve">Daily Rate </t>
        </is>
      </c>
    </row>
    <row r="19" ht="18" customHeight="1" s="562">
      <c r="A19" s="585" t="inlineStr">
        <is>
          <t>Mmamaswabi Emma Dhlamini</t>
        </is>
      </c>
      <c r="B19" s="585" t="inlineStr">
        <is>
          <t>Capitec</t>
        </is>
      </c>
      <c r="C19" s="585" t="n">
        <v>1551373988</v>
      </c>
      <c r="D19" s="585" t="inlineStr">
        <is>
          <t>Savings</t>
        </is>
      </c>
      <c r="E19" s="585" t="inlineStr">
        <is>
          <t xml:space="preserve">Daily Rate </t>
        </is>
      </c>
    </row>
    <row r="20" ht="18" customHeight="1" s="562">
      <c r="A20" s="585" t="inlineStr">
        <is>
          <t xml:space="preserve">Tracy Nothando Nyirenda / Elvis </t>
        </is>
      </c>
      <c r="B20" s="585" t="inlineStr">
        <is>
          <t>FNB</t>
        </is>
      </c>
      <c r="C20" s="585" t="n">
        <v>63150352359</v>
      </c>
      <c r="D20" s="585" t="inlineStr">
        <is>
          <t>Savings</t>
        </is>
      </c>
      <c r="E20" s="585" t="inlineStr">
        <is>
          <t xml:space="preserve">Daily Rate </t>
        </is>
      </c>
    </row>
    <row r="21" ht="18" customHeight="1" s="562">
      <c r="A21" s="585" t="inlineStr">
        <is>
          <t xml:space="preserve">Rebecca Samba </t>
        </is>
      </c>
      <c r="B21" s="585" t="inlineStr">
        <is>
          <t>Capitec</t>
        </is>
      </c>
      <c r="C21" s="585" t="n">
        <v>2465504262</v>
      </c>
      <c r="D21" s="585" t="inlineStr">
        <is>
          <t>Savings</t>
        </is>
      </c>
      <c r="E21" s="585" t="inlineStr">
        <is>
          <t xml:space="preserve">Daily Rate </t>
        </is>
      </c>
    </row>
    <row r="22" ht="18" customHeight="1" s="562">
      <c r="A22" s="585" t="inlineStr">
        <is>
          <t xml:space="preserve">Marion Goeda </t>
        </is>
      </c>
      <c r="B22" s="585" t="inlineStr">
        <is>
          <t>Tyme Bank</t>
        </is>
      </c>
      <c r="C22" s="585" t="n">
        <v>51128027282</v>
      </c>
      <c r="D22" s="585" t="inlineStr">
        <is>
          <t>Savings</t>
        </is>
      </c>
      <c r="E22" s="585" t="inlineStr">
        <is>
          <t xml:space="preserve">Daily Rate </t>
        </is>
      </c>
    </row>
    <row r="23" ht="18" customHeight="1" s="562">
      <c r="A23" s="585" t="inlineStr">
        <is>
          <t>Siphethokhuhle Nkomo</t>
        </is>
      </c>
      <c r="B23" s="585" t="inlineStr">
        <is>
          <t xml:space="preserve">Access Bank </t>
        </is>
      </c>
      <c r="C23" s="585" t="n">
        <v>51576208560</v>
      </c>
      <c r="D23" s="585" t="inlineStr">
        <is>
          <t>Savings</t>
        </is>
      </c>
      <c r="E23" s="585" t="inlineStr">
        <is>
          <t xml:space="preserve">Daily Rate </t>
        </is>
      </c>
    </row>
    <row r="24" ht="18" customHeight="1" s="562">
      <c r="A24" s="587" t="inlineStr">
        <is>
          <t xml:space="preserve">Lina Raphahlela </t>
        </is>
      </c>
      <c r="B24" s="587" t="inlineStr">
        <is>
          <t>Capitec</t>
        </is>
      </c>
      <c r="C24" s="587" t="n">
        <v>1582625792</v>
      </c>
      <c r="D24" s="587" t="inlineStr">
        <is>
          <t>Savings</t>
        </is>
      </c>
      <c r="E24" s="585" t="inlineStr">
        <is>
          <t xml:space="preserve">Daily Rate </t>
        </is>
      </c>
    </row>
    <row r="25" ht="18" customHeight="1" s="562">
      <c r="A25" s="585" t="inlineStr">
        <is>
          <t>Matshidiso Leah Aphane</t>
        </is>
      </c>
      <c r="B25" s="585" t="inlineStr">
        <is>
          <t xml:space="preserve">Standard Bank </t>
        </is>
      </c>
      <c r="C25" s="585" t="n">
        <v>10198039598</v>
      </c>
      <c r="D25" s="585" t="inlineStr">
        <is>
          <t>Savings</t>
        </is>
      </c>
      <c r="E25" s="585" t="inlineStr">
        <is>
          <t>Set Rate- R7000</t>
        </is>
      </c>
    </row>
    <row r="26" ht="18" customHeight="1" s="562">
      <c r="A26" s="585" t="inlineStr">
        <is>
          <t>Monique Bosch</t>
        </is>
      </c>
      <c r="B26" s="585" t="inlineStr">
        <is>
          <t>ABSA</t>
        </is>
      </c>
      <c r="C26" s="585" t="n">
        <v>9346827597</v>
      </c>
      <c r="D26" s="585" t="inlineStr">
        <is>
          <t xml:space="preserve">Current </t>
        </is>
      </c>
      <c r="E26" s="588" t="n"/>
    </row>
    <row r="27" ht="18" customHeight="1" s="562">
      <c r="A27" s="587" t="inlineStr">
        <is>
          <t>Nhlakanipho (Nipho) Tshabalala</t>
        </is>
      </c>
      <c r="B27" s="587" t="inlineStr">
        <is>
          <t>Capitec</t>
        </is>
      </c>
      <c r="C27" s="587" t="n">
        <v>1657265011</v>
      </c>
      <c r="D27" s="587" t="inlineStr">
        <is>
          <t>Savings</t>
        </is>
      </c>
      <c r="E27" s="585" t="inlineStr">
        <is>
          <t xml:space="preserve">Daily Rate </t>
        </is>
      </c>
    </row>
    <row r="28" ht="18" customHeight="1" s="562">
      <c r="A28" s="585" t="inlineStr">
        <is>
          <t xml:space="preserve">Musa Zulu </t>
        </is>
      </c>
      <c r="B28" s="585" t="inlineStr">
        <is>
          <t xml:space="preserve">Standard Bank </t>
        </is>
      </c>
      <c r="C28" s="585" t="n">
        <v>10220227606</v>
      </c>
      <c r="D28" s="585" t="inlineStr">
        <is>
          <t xml:space="preserve">Current </t>
        </is>
      </c>
      <c r="E28" s="585" t="inlineStr">
        <is>
          <t xml:space="preserve">Daily Rate </t>
        </is>
      </c>
    </row>
    <row r="29" ht="18" customHeight="1" s="562">
      <c r="A29" s="585" t="inlineStr">
        <is>
          <t xml:space="preserve">Busisiwe Mandiyanike </t>
        </is>
      </c>
      <c r="B29" s="585" t="inlineStr">
        <is>
          <t>Capitec</t>
        </is>
      </c>
      <c r="C29" s="585" t="n">
        <v>1824878654</v>
      </c>
      <c r="D29" s="585" t="inlineStr">
        <is>
          <t>Savings</t>
        </is>
      </c>
      <c r="E29" s="585" t="inlineStr">
        <is>
          <t xml:space="preserve">Daily Rate </t>
        </is>
      </c>
    </row>
    <row r="30" ht="18" customHeight="1" s="562">
      <c r="A30" s="585" t="inlineStr">
        <is>
          <t xml:space="preserve">Julia Ramoroka </t>
        </is>
      </c>
      <c r="B30" s="585" t="inlineStr">
        <is>
          <t>Capitec</t>
        </is>
      </c>
      <c r="C30" s="585" t="n">
        <v>1699069881</v>
      </c>
      <c r="D30" s="585" t="inlineStr">
        <is>
          <t>Savings</t>
        </is>
      </c>
      <c r="E30" s="585" t="inlineStr">
        <is>
          <t xml:space="preserve">Daily Rate </t>
        </is>
      </c>
    </row>
    <row r="31" ht="18" customHeight="1" s="562">
      <c r="A31" s="585" t="inlineStr">
        <is>
          <t>Martha Mashishi</t>
        </is>
      </c>
      <c r="B31" s="585" t="inlineStr">
        <is>
          <t>FNB</t>
        </is>
      </c>
      <c r="C31" s="585" t="n">
        <v>63184912434</v>
      </c>
      <c r="D31" s="585" t="inlineStr">
        <is>
          <t xml:space="preserve">Current </t>
        </is>
      </c>
      <c r="E31" s="585" t="inlineStr">
        <is>
          <t xml:space="preserve">Daily Rate </t>
        </is>
      </c>
    </row>
    <row r="32" ht="18" customHeight="1" s="562">
      <c r="A32" s="585" t="inlineStr">
        <is>
          <t>Emilia Masvosva</t>
        </is>
      </c>
      <c r="B32" s="585" t="inlineStr">
        <is>
          <t>FNB</t>
        </is>
      </c>
      <c r="C32" s="585" t="n">
        <v>63187909420</v>
      </c>
      <c r="D32" s="585" t="inlineStr">
        <is>
          <t>Savings</t>
        </is>
      </c>
      <c r="E32" s="585" t="inlineStr">
        <is>
          <t xml:space="preserve">Daily Rate </t>
        </is>
      </c>
    </row>
    <row r="33" ht="18" customHeight="1" s="562">
      <c r="A33" s="585" t="inlineStr">
        <is>
          <t xml:space="preserve">Sara Mdaka </t>
        </is>
      </c>
      <c r="B33" s="585" t="inlineStr">
        <is>
          <t xml:space="preserve">Standard Bank </t>
        </is>
      </c>
      <c r="C33" s="585" t="n">
        <v>10178989965</v>
      </c>
      <c r="D33" s="585" t="inlineStr">
        <is>
          <t>Savings</t>
        </is>
      </c>
      <c r="E33" s="585" t="inlineStr">
        <is>
          <t xml:space="preserve">Daily Rate </t>
        </is>
      </c>
    </row>
    <row r="34" ht="18" customHeight="1" s="562">
      <c r="A34" s="585" t="inlineStr">
        <is>
          <t xml:space="preserve">Martha Sona </t>
        </is>
      </c>
      <c r="B34" s="585" t="inlineStr">
        <is>
          <t xml:space="preserve">Standard Bank </t>
        </is>
      </c>
      <c r="C34" s="585" t="n">
        <v>10155598854</v>
      </c>
      <c r="D34" s="585" t="inlineStr">
        <is>
          <t>Savings</t>
        </is>
      </c>
      <c r="E34" s="585" t="inlineStr">
        <is>
          <t xml:space="preserve">Daily Rate </t>
        </is>
      </c>
    </row>
    <row r="35" ht="18" customHeight="1" s="562">
      <c r="A35" s="585" t="inlineStr">
        <is>
          <t xml:space="preserve">Mbali Ndaba </t>
        </is>
      </c>
      <c r="B35" s="585" t="inlineStr">
        <is>
          <t>Capitec</t>
        </is>
      </c>
      <c r="C35" s="585" t="n">
        <v>1498440809</v>
      </c>
      <c r="D35" s="585" t="inlineStr">
        <is>
          <t>Savings</t>
        </is>
      </c>
      <c r="E35" s="585" t="inlineStr">
        <is>
          <t xml:space="preserve">Daily Rate </t>
        </is>
      </c>
    </row>
    <row r="36" ht="18" customHeight="1" s="562">
      <c r="A36" s="589" t="inlineStr">
        <is>
          <t>Philadelphia Mashaba</t>
        </is>
      </c>
      <c r="B36" s="589" t="inlineStr">
        <is>
          <t>Capitec</t>
        </is>
      </c>
      <c r="C36" s="589" t="n">
        <v>1664129756</v>
      </c>
      <c r="D36" s="589" t="inlineStr">
        <is>
          <t>Savings</t>
        </is>
      </c>
      <c r="E36" s="589" t="inlineStr">
        <is>
          <t xml:space="preserve">Daily Rate </t>
        </is>
      </c>
    </row>
    <row r="37" ht="18" customHeight="1" s="562">
      <c r="A37" s="589" t="inlineStr">
        <is>
          <t xml:space="preserve">Annika Van Rensburg </t>
        </is>
      </c>
      <c r="B37" s="589" t="inlineStr">
        <is>
          <t>ABSA</t>
        </is>
      </c>
      <c r="C37" s="589" t="n">
        <v>9371060605</v>
      </c>
      <c r="D37" s="589" t="inlineStr">
        <is>
          <t>Savings</t>
        </is>
      </c>
      <c r="E37" s="590" t="n">
        <v>9600</v>
      </c>
    </row>
    <row r="38" ht="18" customHeight="1" s="562">
      <c r="A38" s="589" t="inlineStr">
        <is>
          <t>Fortunate Mabizela</t>
        </is>
      </c>
      <c r="B38" s="589" t="inlineStr">
        <is>
          <t>Capitec</t>
        </is>
      </c>
      <c r="C38" s="589" t="n">
        <v>1474680087</v>
      </c>
      <c r="D38" s="589" t="inlineStr">
        <is>
          <t>Savings</t>
        </is>
      </c>
      <c r="E38" s="589" t="inlineStr">
        <is>
          <t xml:space="preserve">Daily Rate </t>
        </is>
      </c>
    </row>
    <row r="39" ht="18" customHeight="1" s="562">
      <c r="A39" s="589" t="inlineStr">
        <is>
          <t xml:space="preserve">Beauty Masopye </t>
        </is>
      </c>
      <c r="B39" s="589" t="inlineStr">
        <is>
          <t>Capitec</t>
        </is>
      </c>
      <c r="C39" s="589" t="n">
        <v>1289579669</v>
      </c>
      <c r="D39" s="589" t="inlineStr">
        <is>
          <t>Savings</t>
        </is>
      </c>
      <c r="E39" s="589" t="inlineStr">
        <is>
          <t xml:space="preserve">Daily Rate </t>
        </is>
      </c>
    </row>
    <row r="40" ht="18" customHeight="1" s="562">
      <c r="A40" s="589" t="inlineStr">
        <is>
          <t>Thalitha Managa</t>
        </is>
      </c>
      <c r="B40" s="589" t="inlineStr">
        <is>
          <t>Capitec</t>
        </is>
      </c>
      <c r="C40" s="589" t="n">
        <v>1372172848</v>
      </c>
      <c r="D40" s="589" t="inlineStr">
        <is>
          <t>Savings</t>
        </is>
      </c>
      <c r="E40" s="589" t="inlineStr">
        <is>
          <t xml:space="preserve">Daily Rate </t>
        </is>
      </c>
    </row>
    <row r="41" ht="18" customHeight="1" s="562">
      <c r="A41" s="589" t="inlineStr">
        <is>
          <t xml:space="preserve">Dolly Chauke </t>
        </is>
      </c>
      <c r="B41" s="589" t="inlineStr">
        <is>
          <t xml:space="preserve">Standard Bank </t>
        </is>
      </c>
      <c r="C41" s="589" t="n">
        <v>10140799891</v>
      </c>
      <c r="D41" s="589" t="inlineStr">
        <is>
          <t>Savings</t>
        </is>
      </c>
      <c r="E41" s="589" t="inlineStr">
        <is>
          <t xml:space="preserve">Daily Rate </t>
        </is>
      </c>
    </row>
    <row r="42" ht="18" customHeight="1" s="562">
      <c r="A42" s="589" t="inlineStr">
        <is>
          <t>Annie Mabuto</t>
        </is>
      </c>
      <c r="B42" s="589" t="inlineStr">
        <is>
          <t>FNB</t>
        </is>
      </c>
      <c r="C42" s="589" t="n">
        <v>62417698836</v>
      </c>
      <c r="D42" s="589" t="inlineStr">
        <is>
          <t>Savings</t>
        </is>
      </c>
      <c r="E42" s="589" t="inlineStr">
        <is>
          <t xml:space="preserve">Daily Rate </t>
        </is>
      </c>
    </row>
    <row r="43" ht="18" customHeight="1" s="562">
      <c r="A43" s="591" t="n"/>
      <c r="B43" s="591" t="n"/>
      <c r="C43" s="591" t="n"/>
      <c r="D43" s="591" t="n"/>
      <c r="E43" s="591" t="n"/>
    </row>
    <row r="44" ht="18" customHeight="1" s="562">
      <c r="A44" s="591" t="n"/>
      <c r="B44" s="591" t="n"/>
      <c r="C44" s="591" t="n"/>
      <c r="D44" s="591" t="n"/>
      <c r="E44" s="591" t="n"/>
    </row>
    <row r="45" ht="18" customHeight="1" s="562">
      <c r="A45" s="591" t="n"/>
      <c r="B45" s="591" t="n"/>
      <c r="C45" s="591" t="n"/>
      <c r="D45" s="591" t="n"/>
      <c r="E45" s="591" t="n"/>
    </row>
    <row r="46" ht="18" customHeight="1" s="562">
      <c r="A46" s="591" t="n"/>
      <c r="B46" s="591" t="n"/>
      <c r="C46" s="591" t="n"/>
      <c r="D46" s="591" t="n"/>
      <c r="E46" s="591" t="n"/>
    </row>
    <row r="47" ht="18" customHeight="1" s="562">
      <c r="A47" s="591" t="n"/>
      <c r="B47" s="591" t="n"/>
      <c r="C47" s="591" t="n"/>
      <c r="D47" s="591" t="n"/>
      <c r="E47" s="591" t="n"/>
    </row>
    <row r="48" ht="18" customHeight="1" s="562">
      <c r="A48" s="591" t="n"/>
      <c r="B48" s="591" t="n"/>
      <c r="C48" s="591" t="n"/>
      <c r="D48" s="591" t="n"/>
      <c r="E48" s="591" t="n"/>
    </row>
    <row r="49" ht="18" customHeight="1" s="562">
      <c r="A49" s="591" t="n"/>
      <c r="B49" s="591" t="n"/>
      <c r="C49" s="591" t="n"/>
      <c r="D49" s="591" t="n"/>
      <c r="E49" s="591" t="n"/>
    </row>
    <row r="50" ht="18" customHeight="1" s="562">
      <c r="A50" s="591" t="n"/>
      <c r="B50" s="591" t="n"/>
      <c r="C50" s="591" t="n"/>
      <c r="D50" s="591" t="n"/>
      <c r="E50" s="591" t="n"/>
    </row>
    <row r="51" ht="18" customHeight="1" s="562">
      <c r="A51" s="591" t="n"/>
      <c r="B51" s="591" t="n"/>
      <c r="C51" s="591" t="n"/>
      <c r="D51" s="591" t="n"/>
      <c r="E51" s="591" t="n"/>
    </row>
    <row r="52" ht="18" customHeight="1" s="562">
      <c r="A52" s="591" t="n"/>
      <c r="B52" s="591" t="n"/>
      <c r="C52" s="591" t="n"/>
      <c r="D52" s="591" t="n"/>
      <c r="E52" s="591" t="n"/>
    </row>
    <row r="53" ht="18" customHeight="1" s="562">
      <c r="A53" s="591" t="n"/>
      <c r="B53" s="591" t="n"/>
      <c r="C53" s="591" t="n"/>
      <c r="D53" s="591" t="n"/>
      <c r="E53" s="591" t="n"/>
    </row>
    <row r="54" ht="18" customHeight="1" s="562">
      <c r="A54" s="591" t="n"/>
      <c r="B54" s="591" t="n"/>
      <c r="C54" s="591" t="n"/>
      <c r="D54" s="591" t="n"/>
      <c r="E54" s="591" t="n"/>
    </row>
    <row r="55" ht="18" customHeight="1" s="562">
      <c r="A55" s="591" t="n"/>
      <c r="B55" s="591" t="n"/>
      <c r="C55" s="591" t="n"/>
      <c r="D55" s="591" t="n"/>
      <c r="E55" s="591" t="n"/>
    </row>
    <row r="56" ht="18" customHeight="1" s="562">
      <c r="A56" s="591" t="n"/>
      <c r="B56" s="591" t="n"/>
      <c r="C56" s="591" t="n"/>
      <c r="D56" s="591" t="n"/>
      <c r="E56" s="591" t="n"/>
    </row>
    <row r="57" ht="18" customHeight="1" s="562">
      <c r="A57" s="591" t="n"/>
      <c r="B57" s="591" t="n"/>
      <c r="C57" s="591" t="n"/>
      <c r="D57" s="591" t="n"/>
      <c r="E57" s="591" t="n"/>
    </row>
    <row r="58" ht="18" customHeight="1" s="562">
      <c r="A58" s="591" t="n"/>
      <c r="B58" s="591" t="n"/>
      <c r="C58" s="591" t="n"/>
      <c r="D58" s="591" t="n"/>
      <c r="E58" s="591" t="n"/>
    </row>
    <row r="59" ht="18" customHeight="1" s="562">
      <c r="A59" s="591" t="n"/>
      <c r="B59" s="591" t="n"/>
      <c r="C59" s="591" t="n"/>
      <c r="D59" s="591" t="n"/>
      <c r="E59" s="591" t="n"/>
    </row>
    <row r="60" ht="18" customHeight="1" s="562">
      <c r="A60" s="591" t="n"/>
      <c r="B60" s="591" t="n"/>
      <c r="C60" s="591" t="n"/>
      <c r="D60" s="591" t="n"/>
      <c r="E60" s="591" t="n"/>
    </row>
    <row r="61" ht="18" customHeight="1" s="562">
      <c r="A61" s="591" t="n"/>
      <c r="B61" s="591" t="n"/>
      <c r="C61" s="591" t="n"/>
      <c r="D61" s="591" t="n"/>
      <c r="E61" s="591" t="n"/>
    </row>
    <row r="62" ht="18" customHeight="1" s="562">
      <c r="A62" s="591" t="n"/>
      <c r="B62" s="591" t="n"/>
      <c r="C62" s="591" t="n"/>
      <c r="D62" s="591" t="n"/>
      <c r="E62" s="591" t="n"/>
    </row>
    <row r="63" ht="18" customHeight="1" s="562">
      <c r="A63" s="591" t="n"/>
      <c r="B63" s="591" t="n"/>
      <c r="C63" s="591" t="n"/>
      <c r="D63" s="591" t="n"/>
      <c r="E63" s="591" t="n"/>
    </row>
    <row r="64" ht="18" customHeight="1" s="562">
      <c r="A64" s="591" t="n"/>
      <c r="B64" s="591" t="n"/>
      <c r="C64" s="591" t="n"/>
      <c r="D64" s="591" t="n"/>
      <c r="E64" s="591" t="n"/>
    </row>
    <row r="65" ht="18" customHeight="1" s="562">
      <c r="A65" s="591" t="n"/>
      <c r="B65" s="591" t="n"/>
      <c r="C65" s="591" t="n"/>
      <c r="D65" s="591" t="n"/>
      <c r="E65" s="591" t="n"/>
    </row>
    <row r="66" ht="18" customHeight="1" s="562">
      <c r="A66" s="591" t="n"/>
      <c r="B66" s="591" t="n"/>
      <c r="C66" s="591" t="n"/>
      <c r="D66" s="591" t="n"/>
      <c r="E66" s="591" t="n"/>
    </row>
    <row r="67" ht="18" customHeight="1" s="562">
      <c r="A67" s="591" t="n"/>
      <c r="B67" s="591" t="n"/>
      <c r="C67" s="591" t="n"/>
      <c r="D67" s="591" t="n"/>
      <c r="E67" s="591" t="n"/>
    </row>
    <row r="68" ht="18" customHeight="1" s="562">
      <c r="A68" s="591" t="n"/>
      <c r="B68" s="591" t="n"/>
      <c r="C68" s="591" t="n"/>
      <c r="D68" s="591" t="n"/>
      <c r="E68" s="591" t="n"/>
    </row>
    <row r="69" ht="18" customHeight="1" s="562">
      <c r="A69" s="591" t="n"/>
      <c r="B69" s="591" t="n"/>
      <c r="C69" s="591" t="n"/>
      <c r="D69" s="591" t="n"/>
      <c r="E69" s="591" t="n"/>
    </row>
    <row r="70" ht="18" customHeight="1" s="562">
      <c r="A70" s="591" t="n"/>
      <c r="B70" s="591" t="n"/>
      <c r="C70" s="591" t="n"/>
      <c r="D70" s="591" t="n"/>
      <c r="E70" s="591" t="n"/>
    </row>
    <row r="71" ht="18" customHeight="1" s="562">
      <c r="A71" s="591" t="n"/>
      <c r="B71" s="591" t="n"/>
      <c r="C71" s="591" t="n"/>
      <c r="D71" s="591" t="n"/>
      <c r="E71" s="591" t="n"/>
    </row>
    <row r="72" ht="18" customHeight="1" s="562">
      <c r="A72" s="591" t="n"/>
      <c r="B72" s="591" t="n"/>
      <c r="C72" s="591" t="n"/>
      <c r="D72" s="591" t="n"/>
    </row>
    <row r="73" ht="18" customHeight="1" s="562">
      <c r="A73" s="591" t="n"/>
      <c r="B73" s="591" t="n"/>
      <c r="C73" s="591" t="n"/>
      <c r="D73" s="591" t="n"/>
    </row>
    <row r="74" ht="18" customHeight="1" s="562">
      <c r="A74" s="591" t="n"/>
      <c r="B74" s="591" t="n"/>
      <c r="C74" s="591" t="n"/>
      <c r="D74" s="591" t="n"/>
    </row>
    <row r="75" ht="18" customHeight="1" s="562">
      <c r="A75" s="591" t="n"/>
      <c r="B75" s="591" t="n"/>
      <c r="C75" s="591" t="n"/>
      <c r="D75" s="591" t="n"/>
    </row>
    <row r="76" ht="18" customHeight="1" s="562">
      <c r="A76" s="591" t="n"/>
      <c r="B76" s="591" t="n"/>
      <c r="C76" s="591" t="n"/>
      <c r="D76" s="591" t="n"/>
    </row>
    <row r="77" ht="18" customHeight="1" s="562">
      <c r="A77" s="591" t="n"/>
      <c r="B77" s="591" t="n"/>
      <c r="C77" s="591" t="n"/>
      <c r="D77" s="591" t="n"/>
    </row>
    <row r="78" ht="18" customHeight="1" s="562">
      <c r="A78" s="591" t="n"/>
      <c r="B78" s="591" t="n"/>
      <c r="C78" s="591" t="n"/>
      <c r="D78" s="591" t="n"/>
    </row>
    <row r="79" ht="18" customHeight="1" s="562">
      <c r="A79" s="591" t="n"/>
      <c r="B79" s="591" t="n"/>
      <c r="C79" s="591" t="n"/>
      <c r="D79" s="591" t="n"/>
    </row>
    <row r="80" ht="18" customHeight="1" s="562">
      <c r="A80" s="591" t="n"/>
      <c r="B80" s="591" t="n"/>
      <c r="C80" s="591" t="n"/>
      <c r="D80" s="591" t="n"/>
    </row>
    <row r="81" ht="18" customHeight="1" s="562">
      <c r="A81" s="591" t="n"/>
      <c r="B81" s="591" t="n"/>
      <c r="C81" s="591" t="n"/>
      <c r="D81" s="591" t="n"/>
    </row>
    <row r="82" ht="18" customHeight="1" s="562">
      <c r="A82" s="591" t="n"/>
      <c r="B82" s="591" t="n"/>
      <c r="C82" s="591" t="n"/>
      <c r="D82" s="591" t="n"/>
    </row>
    <row r="83" ht="18" customHeight="1" s="562">
      <c r="A83" s="591" t="n"/>
      <c r="B83" s="591" t="n"/>
      <c r="C83" s="591" t="n"/>
      <c r="D83" s="591" t="n"/>
    </row>
    <row r="84" ht="18" customHeight="1" s="562">
      <c r="A84" s="591" t="n"/>
      <c r="B84" s="591" t="n"/>
      <c r="C84" s="591" t="n"/>
      <c r="D84" s="591" t="n"/>
    </row>
    <row r="85" ht="18" customHeight="1" s="562">
      <c r="A85" s="591" t="n"/>
      <c r="B85" s="591" t="n"/>
      <c r="C85" s="591" t="n"/>
      <c r="D85" s="591" t="n"/>
    </row>
    <row r="86" ht="18" customHeight="1" s="562">
      <c r="A86" s="591" t="n"/>
      <c r="B86" s="591" t="n"/>
      <c r="C86" s="591" t="n"/>
      <c r="D86" s="591" t="n"/>
    </row>
    <row r="87" ht="18" customHeight="1" s="562">
      <c r="A87" s="591" t="n"/>
      <c r="B87" s="591" t="n"/>
      <c r="C87" s="591" t="n"/>
      <c r="D87" s="591" t="n"/>
    </row>
    <row r="88" ht="18" customHeight="1" s="562">
      <c r="A88" s="591" t="n"/>
      <c r="B88" s="591" t="n"/>
      <c r="C88" s="591" t="n"/>
      <c r="D88" s="591" t="n"/>
    </row>
    <row r="89" ht="18" customHeight="1" s="562">
      <c r="A89" s="591" t="n"/>
      <c r="B89" s="591" t="n"/>
      <c r="C89" s="591" t="n"/>
      <c r="D89" s="591" t="n"/>
    </row>
    <row r="90" ht="18" customHeight="1" s="562">
      <c r="A90" s="591" t="n"/>
      <c r="B90" s="591" t="n"/>
      <c r="C90" s="591" t="n"/>
      <c r="D90" s="591" t="n"/>
    </row>
    <row r="91" ht="18" customHeight="1" s="562">
      <c r="A91" s="591" t="n"/>
      <c r="B91" s="591" t="n"/>
      <c r="C91" s="591" t="n"/>
      <c r="D91" s="591" t="n"/>
    </row>
    <row r="92" ht="18" customHeight="1" s="562">
      <c r="A92" s="591" t="n"/>
      <c r="B92" s="591" t="n"/>
      <c r="C92" s="591" t="n"/>
      <c r="D92" s="591" t="n"/>
    </row>
    <row r="93" ht="18" customHeight="1" s="562">
      <c r="A93" s="591" t="n"/>
      <c r="B93" s="591" t="n"/>
      <c r="C93" s="591" t="n"/>
      <c r="D93" s="591" t="n"/>
    </row>
    <row r="94" ht="18" customHeight="1" s="562">
      <c r="A94" s="591" t="n"/>
      <c r="B94" s="591" t="n"/>
      <c r="C94" s="591" t="n"/>
      <c r="D94" s="591" t="n"/>
    </row>
    <row r="95" ht="18" customHeight="1" s="562">
      <c r="A95" s="591" t="n"/>
      <c r="B95" s="591" t="n"/>
      <c r="C95" s="591" t="n"/>
      <c r="D95" s="591" t="n"/>
    </row>
    <row r="96" ht="18" customHeight="1" s="562">
      <c r="A96" s="591" t="n"/>
      <c r="B96" s="591" t="n"/>
      <c r="C96" s="591" t="n"/>
      <c r="D96" s="591" t="n"/>
    </row>
    <row r="97" ht="18" customHeight="1" s="562">
      <c r="A97" s="591" t="n"/>
      <c r="B97" s="591" t="n"/>
      <c r="C97" s="591" t="n"/>
      <c r="D97" s="591" t="n"/>
    </row>
    <row r="98" ht="18" customHeight="1" s="562">
      <c r="A98" s="591" t="n"/>
      <c r="B98" s="591" t="n"/>
      <c r="C98" s="591" t="n"/>
      <c r="D98" s="591" t="n"/>
    </row>
    <row r="99" ht="18" customHeight="1" s="562">
      <c r="A99" s="591" t="n"/>
      <c r="B99" s="591" t="n"/>
      <c r="C99" s="591" t="n"/>
      <c r="D99" s="591" t="n"/>
    </row>
    <row r="100" ht="18" customHeight="1" s="562">
      <c r="A100" s="591" t="n"/>
      <c r="B100" s="591" t="n"/>
      <c r="C100" s="591" t="n"/>
      <c r="D100" s="591" t="n"/>
    </row>
    <row r="101" ht="18" customHeight="1" s="562">
      <c r="A101" s="591" t="n"/>
      <c r="B101" s="591" t="n"/>
      <c r="C101" s="591" t="n"/>
      <c r="D101" s="591" t="n"/>
    </row>
    <row r="102" ht="18" customHeight="1" s="562">
      <c r="A102" s="591" t="n"/>
      <c r="B102" s="591" t="n"/>
      <c r="C102" s="591" t="n"/>
      <c r="D102" s="591" t="n"/>
    </row>
    <row r="103" ht="18" customHeight="1" s="562">
      <c r="A103" s="591" t="n"/>
      <c r="B103" s="591" t="n"/>
      <c r="C103" s="591" t="n"/>
      <c r="D103" s="591" t="n"/>
    </row>
    <row r="104" ht="18" customHeight="1" s="562">
      <c r="A104" s="591" t="n"/>
      <c r="B104" s="591" t="n"/>
      <c r="C104" s="591" t="n"/>
      <c r="D104" s="591" t="n"/>
    </row>
    <row r="105" ht="18" customHeight="1" s="562">
      <c r="A105" s="591" t="n"/>
      <c r="B105" s="591" t="n"/>
      <c r="C105" s="591" t="n"/>
      <c r="D105" s="591" t="n"/>
    </row>
    <row r="106" ht="18" customHeight="1" s="562">
      <c r="A106" s="591" t="n"/>
      <c r="B106" s="591" t="n"/>
      <c r="C106" s="591" t="n"/>
      <c r="D106" s="591" t="n"/>
    </row>
    <row r="107" ht="18" customHeight="1" s="562">
      <c r="A107" s="591" t="n"/>
      <c r="B107" s="591" t="n"/>
      <c r="C107" s="591" t="n"/>
      <c r="D107" s="591" t="n"/>
    </row>
    <row r="108" ht="18" customHeight="1" s="562">
      <c r="A108" s="591" t="n"/>
      <c r="B108" s="591" t="n"/>
      <c r="C108" s="591" t="n"/>
      <c r="D108" s="591" t="n"/>
    </row>
    <row r="109" ht="18" customHeight="1" s="562">
      <c r="A109" s="591" t="n"/>
      <c r="B109" s="591" t="n"/>
      <c r="C109" s="591" t="n"/>
      <c r="D109" s="591" t="n"/>
    </row>
    <row r="110" ht="18" customHeight="1" s="562">
      <c r="A110" s="591" t="n"/>
      <c r="B110" s="591" t="n"/>
      <c r="C110" s="591" t="n"/>
      <c r="D110" s="591" t="n"/>
    </row>
    <row r="111" ht="18" customHeight="1" s="562">
      <c r="A111" s="591" t="n"/>
      <c r="B111" s="591" t="n"/>
      <c r="C111" s="591" t="n"/>
      <c r="D111" s="591" t="n"/>
    </row>
    <row r="112" ht="18" customHeight="1" s="562">
      <c r="A112" s="591" t="n"/>
      <c r="B112" s="591" t="n"/>
      <c r="C112" s="591" t="n"/>
      <c r="D112" s="591" t="n"/>
    </row>
    <row r="113" ht="18" customHeight="1" s="562">
      <c r="A113" s="591" t="n"/>
      <c r="B113" s="591" t="n"/>
      <c r="C113" s="591" t="n"/>
      <c r="D113" s="591" t="n"/>
    </row>
    <row r="114" ht="18" customHeight="1" s="562">
      <c r="A114" s="591" t="n"/>
      <c r="B114" s="591" t="n"/>
      <c r="C114" s="591" t="n"/>
      <c r="D114" s="591" t="n"/>
    </row>
    <row r="115" ht="18" customHeight="1" s="562">
      <c r="A115" s="591" t="n"/>
      <c r="B115" s="591" t="n"/>
      <c r="C115" s="591" t="n"/>
      <c r="D115" s="591" t="n"/>
    </row>
    <row r="116" ht="18" customHeight="1" s="562">
      <c r="A116" s="591" t="n"/>
      <c r="B116" s="591" t="n"/>
      <c r="C116" s="591" t="n"/>
      <c r="D116" s="591" t="n"/>
    </row>
    <row r="117" ht="18" customHeight="1" s="562">
      <c r="A117" s="591" t="n"/>
      <c r="B117" s="591" t="n"/>
      <c r="C117" s="591" t="n"/>
      <c r="D117" s="591" t="n"/>
    </row>
    <row r="118" ht="18" customHeight="1" s="562">
      <c r="A118" s="591" t="n"/>
      <c r="B118" s="591" t="n"/>
      <c r="C118" s="591" t="n"/>
      <c r="D118" s="591" t="n"/>
    </row>
    <row r="119" ht="18" customHeight="1" s="562">
      <c r="A119" s="591" t="n"/>
      <c r="B119" s="591" t="n"/>
      <c r="C119" s="591" t="n"/>
      <c r="D119" s="591" t="n"/>
    </row>
    <row r="120" ht="18" customHeight="1" s="562">
      <c r="A120" s="591" t="n"/>
      <c r="B120" s="591" t="n"/>
      <c r="C120" s="591" t="n"/>
      <c r="D120" s="591" t="n"/>
    </row>
    <row r="121" ht="18" customHeight="1" s="562">
      <c r="A121" s="591" t="n"/>
      <c r="B121" s="591" t="n"/>
      <c r="C121" s="591" t="n"/>
      <c r="D121" s="591" t="n"/>
    </row>
    <row r="122" ht="18" customHeight="1" s="562">
      <c r="A122" s="591" t="n"/>
      <c r="B122" s="591" t="n"/>
      <c r="C122" s="591" t="n"/>
      <c r="D122" s="591" t="n"/>
    </row>
    <row r="123" ht="18" customHeight="1" s="562">
      <c r="A123" s="591" t="n"/>
      <c r="B123" s="591" t="n"/>
      <c r="C123" s="591" t="n"/>
      <c r="D123" s="591" t="n"/>
    </row>
    <row r="124" ht="18" customHeight="1" s="562">
      <c r="A124" s="591" t="n"/>
      <c r="B124" s="591" t="n"/>
      <c r="C124" s="591" t="n"/>
      <c r="D124" s="591" t="n"/>
    </row>
    <row r="125" ht="18" customHeight="1" s="562">
      <c r="A125" s="591" t="n"/>
      <c r="B125" s="591" t="n"/>
      <c r="C125" s="591" t="n"/>
      <c r="D125" s="591" t="n"/>
    </row>
    <row r="126" ht="18" customHeight="1" s="562">
      <c r="A126" s="591" t="n"/>
      <c r="B126" s="591" t="n"/>
      <c r="C126" s="591" t="n"/>
      <c r="D126" s="591" t="n"/>
    </row>
    <row r="127" ht="18" customHeight="1" s="562">
      <c r="A127" s="591" t="n"/>
      <c r="B127" s="591" t="n"/>
      <c r="C127" s="591" t="n"/>
      <c r="D127" s="591" t="n"/>
    </row>
    <row r="128" ht="18" customHeight="1" s="562">
      <c r="A128" s="591" t="n"/>
      <c r="B128" s="591" t="n"/>
      <c r="C128" s="591" t="n"/>
      <c r="D128" s="591" t="n"/>
    </row>
    <row r="129" ht="18" customHeight="1" s="562">
      <c r="A129" s="591" t="n"/>
      <c r="B129" s="591" t="n"/>
      <c r="C129" s="591" t="n"/>
      <c r="D129" s="591" t="n"/>
    </row>
    <row r="130" ht="18" customHeight="1" s="562">
      <c r="A130" s="591" t="n"/>
      <c r="B130" s="591" t="n"/>
      <c r="C130" s="591" t="n"/>
      <c r="D130" s="591" t="n"/>
    </row>
    <row r="131" ht="18" customHeight="1" s="562">
      <c r="A131" s="591" t="n"/>
      <c r="B131" s="591" t="n"/>
      <c r="C131" s="591" t="n"/>
      <c r="D131" s="591" t="n"/>
    </row>
    <row r="132" ht="18" customHeight="1" s="562">
      <c r="A132" s="591" t="n"/>
      <c r="B132" s="591" t="n"/>
      <c r="C132" s="591" t="n"/>
      <c r="D132" s="591" t="n"/>
    </row>
    <row r="133" ht="18" customHeight="1" s="562">
      <c r="A133" s="591" t="n"/>
      <c r="B133" s="591" t="n"/>
      <c r="C133" s="591" t="n"/>
      <c r="D133" s="591" t="n"/>
    </row>
    <row r="134" ht="18" customHeight="1" s="562">
      <c r="A134" s="591" t="n"/>
      <c r="B134" s="591" t="n"/>
      <c r="C134" s="591" t="n"/>
      <c r="D134" s="591" t="n"/>
    </row>
    <row r="135" ht="18" customHeight="1" s="562">
      <c r="A135" s="591" t="n"/>
      <c r="B135" s="591" t="n"/>
      <c r="C135" s="591" t="n"/>
      <c r="D135" s="591" t="n"/>
    </row>
    <row r="136" ht="18" customHeight="1" s="562">
      <c r="A136" s="591" t="n"/>
      <c r="B136" s="591" t="n"/>
      <c r="C136" s="591" t="n"/>
      <c r="D136" s="591" t="n"/>
    </row>
    <row r="137" ht="18" customHeight="1" s="562">
      <c r="A137" s="591" t="n"/>
      <c r="B137" s="591" t="n"/>
      <c r="C137" s="591" t="n"/>
      <c r="D137" s="591" t="n"/>
    </row>
    <row r="138" ht="18" customHeight="1" s="562">
      <c r="A138" s="591" t="n"/>
      <c r="B138" s="591" t="n"/>
      <c r="C138" s="591" t="n"/>
      <c r="D138" s="591" t="n"/>
    </row>
    <row r="139" ht="18" customHeight="1" s="562">
      <c r="A139" s="591" t="n"/>
      <c r="B139" s="591" t="n"/>
      <c r="C139" s="591" t="n"/>
      <c r="D139" s="591" t="n"/>
    </row>
    <row r="140" ht="18" customHeight="1" s="562">
      <c r="A140" s="591" t="n"/>
      <c r="B140" s="591" t="n"/>
      <c r="C140" s="591" t="n"/>
      <c r="D140" s="591" t="n"/>
    </row>
    <row r="141" ht="18" customHeight="1" s="562">
      <c r="A141" s="591" t="n"/>
      <c r="B141" s="591" t="n"/>
      <c r="C141" s="591" t="n"/>
      <c r="D141" s="591" t="n"/>
    </row>
    <row r="142" ht="18" customHeight="1" s="562">
      <c r="A142" s="591" t="n"/>
      <c r="B142" s="591" t="n"/>
      <c r="C142" s="591" t="n"/>
      <c r="D142" s="591" t="n"/>
    </row>
    <row r="143" ht="18" customHeight="1" s="562">
      <c r="A143" s="591" t="n"/>
      <c r="B143" s="591" t="n"/>
      <c r="C143" s="591" t="n"/>
      <c r="D143" s="591" t="n"/>
    </row>
    <row r="144" ht="18" customHeight="1" s="562">
      <c r="A144" s="591" t="n"/>
      <c r="B144" s="591" t="n"/>
      <c r="C144" s="591" t="n"/>
      <c r="D144" s="591" t="n"/>
    </row>
    <row r="145" ht="18" customHeight="1" s="562">
      <c r="A145" s="591" t="n"/>
      <c r="B145" s="591" t="n"/>
      <c r="C145" s="591" t="n"/>
      <c r="D145" s="591" t="n"/>
    </row>
    <row r="146" ht="18" customHeight="1" s="562">
      <c r="A146" s="591" t="n"/>
      <c r="B146" s="591" t="n"/>
      <c r="C146" s="591" t="n"/>
      <c r="D146" s="591" t="n"/>
    </row>
    <row r="147" ht="18" customHeight="1" s="562">
      <c r="A147" s="591" t="n"/>
      <c r="B147" s="591" t="n"/>
      <c r="C147" s="591" t="n"/>
      <c r="D147" s="591" t="n"/>
    </row>
    <row r="148" ht="18" customHeight="1" s="562">
      <c r="A148" s="591" t="n"/>
      <c r="B148" s="591" t="n"/>
      <c r="C148" s="591" t="n"/>
      <c r="D148" s="591" t="n"/>
    </row>
    <row r="149" ht="18" customHeight="1" s="562">
      <c r="A149" s="591" t="n"/>
      <c r="B149" s="591" t="n"/>
      <c r="C149" s="591" t="n"/>
      <c r="D149" s="591" t="n"/>
    </row>
    <row r="150" ht="18" customHeight="1" s="562">
      <c r="A150" s="591" t="n"/>
      <c r="B150" s="591" t="n"/>
      <c r="C150" s="591" t="n"/>
      <c r="D150" s="591" t="n"/>
    </row>
    <row r="151" ht="18" customHeight="1" s="562">
      <c r="A151" s="591" t="n"/>
      <c r="B151" s="591" t="n"/>
      <c r="C151" s="591" t="n"/>
      <c r="D151" s="591" t="n"/>
    </row>
    <row r="152" ht="18" customHeight="1" s="562">
      <c r="A152" s="591" t="n"/>
      <c r="B152" s="591" t="n"/>
      <c r="C152" s="591" t="n"/>
      <c r="D152" s="591" t="n"/>
    </row>
    <row r="153" ht="18" customHeight="1" s="562">
      <c r="A153" s="591" t="n"/>
      <c r="B153" s="591" t="n"/>
      <c r="C153" s="591" t="n"/>
      <c r="D153" s="591" t="n"/>
    </row>
    <row r="154" ht="18" customHeight="1" s="562">
      <c r="A154" s="591" t="n"/>
      <c r="B154" s="591" t="n"/>
      <c r="C154" s="591" t="n"/>
      <c r="D154" s="591" t="n"/>
    </row>
    <row r="155" ht="18" customHeight="1" s="562">
      <c r="A155" s="591" t="n"/>
      <c r="B155" s="591" t="n"/>
      <c r="C155" s="591" t="n"/>
      <c r="D155" s="591" t="n"/>
    </row>
    <row r="156" ht="18" customHeight="1" s="562">
      <c r="A156" s="591" t="n"/>
      <c r="B156" s="591" t="n"/>
      <c r="C156" s="591" t="n"/>
      <c r="D156" s="591" t="n"/>
    </row>
    <row r="157" ht="18" customHeight="1" s="562">
      <c r="A157" s="591" t="n"/>
      <c r="B157" s="591" t="n"/>
      <c r="C157" s="591" t="n"/>
      <c r="D157" s="591" t="n"/>
    </row>
    <row r="158" ht="18" customHeight="1" s="562">
      <c r="A158" s="591" t="n"/>
      <c r="B158" s="591" t="n"/>
      <c r="C158" s="591" t="n"/>
      <c r="D158" s="591" t="n"/>
    </row>
    <row r="159" ht="18" customHeight="1" s="562">
      <c r="A159" s="591" t="n"/>
      <c r="B159" s="591" t="n"/>
      <c r="C159" s="591" t="n"/>
      <c r="D159" s="591" t="n"/>
    </row>
    <row r="160" ht="18" customHeight="1" s="562">
      <c r="A160" s="591" t="n"/>
      <c r="B160" s="591" t="n"/>
      <c r="C160" s="591" t="n"/>
      <c r="D160" s="591" t="n"/>
    </row>
    <row r="161" ht="18" customHeight="1" s="562">
      <c r="A161" s="591" t="n"/>
      <c r="B161" s="591" t="n"/>
      <c r="C161" s="591" t="n"/>
      <c r="D161" s="591" t="n"/>
    </row>
    <row r="162" ht="18" customHeight="1" s="562">
      <c r="A162" s="591" t="n"/>
      <c r="B162" s="591" t="n"/>
      <c r="C162" s="591" t="n"/>
      <c r="D162" s="591" t="n"/>
    </row>
    <row r="163" ht="18" customHeight="1" s="562">
      <c r="A163" s="591" t="n"/>
      <c r="B163" s="591" t="n"/>
      <c r="C163" s="591" t="n"/>
      <c r="D163" s="591" t="n"/>
    </row>
    <row r="164" ht="18" customHeight="1" s="562">
      <c r="A164" s="591" t="n"/>
      <c r="B164" s="591" t="n"/>
      <c r="C164" s="591" t="n"/>
      <c r="D164" s="591" t="n"/>
    </row>
    <row r="165" ht="18" customHeight="1" s="562">
      <c r="A165" s="591" t="n"/>
      <c r="B165" s="591" t="n"/>
      <c r="C165" s="591" t="n"/>
      <c r="D165" s="591" t="n"/>
    </row>
    <row r="166" ht="18" customHeight="1" s="562">
      <c r="A166" s="591" t="n"/>
      <c r="B166" s="591" t="n"/>
      <c r="C166" s="591" t="n"/>
      <c r="D166" s="591" t="n"/>
    </row>
    <row r="167" ht="18" customHeight="1" s="562">
      <c r="A167" s="591" t="n"/>
      <c r="B167" s="591" t="n"/>
      <c r="C167" s="591" t="n"/>
      <c r="D167" s="591" t="n"/>
    </row>
    <row r="168" ht="18" customHeight="1" s="562">
      <c r="A168" s="591" t="n"/>
      <c r="B168" s="591" t="n"/>
      <c r="C168" s="591" t="n"/>
      <c r="D168" s="591" t="n"/>
    </row>
    <row r="169" ht="18" customHeight="1" s="562">
      <c r="A169" s="591" t="n"/>
      <c r="B169" s="591" t="n"/>
      <c r="C169" s="591" t="n"/>
      <c r="D169" s="591" t="n"/>
    </row>
    <row r="170" ht="18" customHeight="1" s="562">
      <c r="A170" s="591" t="n"/>
      <c r="B170" s="591" t="n"/>
      <c r="C170" s="591" t="n"/>
      <c r="D170" s="591" t="n"/>
    </row>
    <row r="171" ht="18" customHeight="1" s="562">
      <c r="A171" s="591" t="n"/>
      <c r="B171" s="591" t="n"/>
      <c r="C171" s="591" t="n"/>
      <c r="D171" s="591" t="n"/>
    </row>
    <row r="172" ht="18" customHeight="1" s="562">
      <c r="A172" s="591" t="n"/>
      <c r="B172" s="591" t="n"/>
      <c r="C172" s="591" t="n"/>
      <c r="D172" s="591" t="n"/>
    </row>
    <row r="173" ht="18" customHeight="1" s="562">
      <c r="A173" s="591" t="n"/>
      <c r="B173" s="591" t="n"/>
      <c r="C173" s="591" t="n"/>
      <c r="D173" s="591" t="n"/>
    </row>
    <row r="174" ht="18" customHeight="1" s="562">
      <c r="A174" s="591" t="n"/>
      <c r="B174" s="591" t="n"/>
      <c r="C174" s="591" t="n"/>
      <c r="D174" s="591" t="n"/>
    </row>
    <row r="175" ht="18" customHeight="1" s="562">
      <c r="A175" s="591" t="n"/>
      <c r="B175" s="591" t="n"/>
      <c r="C175" s="591" t="n"/>
      <c r="D175" s="591" t="n"/>
    </row>
    <row r="176" ht="18" customHeight="1" s="562">
      <c r="A176" s="591" t="n"/>
      <c r="B176" s="591" t="n"/>
      <c r="C176" s="591" t="n"/>
      <c r="D176" s="591" t="n"/>
    </row>
    <row r="177" ht="18" customHeight="1" s="562">
      <c r="A177" s="591" t="n"/>
      <c r="B177" s="591" t="n"/>
      <c r="C177" s="591" t="n"/>
      <c r="D177" s="591" t="n"/>
    </row>
    <row r="178" ht="18" customHeight="1" s="562">
      <c r="A178" s="591" t="n"/>
      <c r="B178" s="591" t="n"/>
      <c r="C178" s="591" t="n"/>
      <c r="D178" s="591" t="n"/>
    </row>
    <row r="179" ht="18" customHeight="1" s="562">
      <c r="A179" s="591" t="n"/>
      <c r="B179" s="591" t="n"/>
      <c r="C179" s="591" t="n"/>
      <c r="D179" s="591" t="n"/>
    </row>
    <row r="180" ht="18" customHeight="1" s="562">
      <c r="A180" s="591" t="n"/>
      <c r="B180" s="591" t="n"/>
      <c r="C180" s="591" t="n"/>
      <c r="D180" s="591" t="n"/>
    </row>
    <row r="181" ht="18" customHeight="1" s="562">
      <c r="A181" s="591" t="n"/>
      <c r="B181" s="591" t="n"/>
      <c r="C181" s="591" t="n"/>
      <c r="D181" s="591" t="n"/>
    </row>
    <row r="182" ht="18" customHeight="1" s="562">
      <c r="A182" s="591" t="n"/>
      <c r="B182" s="591" t="n"/>
      <c r="C182" s="591" t="n"/>
      <c r="D182" s="591" t="n"/>
    </row>
    <row r="183" ht="18" customHeight="1" s="562">
      <c r="A183" s="591" t="n"/>
      <c r="B183" s="591" t="n"/>
      <c r="C183" s="591" t="n"/>
      <c r="D183" s="591" t="n"/>
    </row>
    <row r="184" ht="18" customHeight="1" s="562">
      <c r="A184" s="591" t="n"/>
      <c r="B184" s="591" t="n"/>
      <c r="C184" s="591" t="n"/>
      <c r="D184" s="591" t="n"/>
    </row>
    <row r="185" ht="18" customHeight="1" s="562">
      <c r="A185" s="591" t="n"/>
      <c r="B185" s="591" t="n"/>
      <c r="C185" s="591" t="n"/>
      <c r="D185" s="591" t="n"/>
    </row>
    <row r="186" ht="18" customHeight="1" s="562">
      <c r="A186" s="591" t="n"/>
      <c r="B186" s="591" t="n"/>
      <c r="C186" s="591" t="n"/>
      <c r="D186" s="591" t="n"/>
    </row>
    <row r="187" ht="18" customHeight="1" s="562">
      <c r="A187" s="591" t="n"/>
      <c r="B187" s="591" t="n"/>
      <c r="C187" s="591" t="n"/>
      <c r="D187" s="591" t="n"/>
    </row>
    <row r="188" ht="18" customHeight="1" s="562">
      <c r="A188" s="591" t="n"/>
      <c r="B188" s="591" t="n"/>
      <c r="C188" s="591" t="n"/>
      <c r="D188" s="591" t="n"/>
    </row>
    <row r="189" ht="18" customHeight="1" s="562">
      <c r="A189" s="591" t="n"/>
      <c r="B189" s="591" t="n"/>
      <c r="C189" s="591" t="n"/>
      <c r="D189" s="591" t="n"/>
    </row>
    <row r="190" ht="18" customHeight="1" s="562">
      <c r="A190" s="591" t="n"/>
      <c r="B190" s="591" t="n"/>
      <c r="C190" s="591" t="n"/>
      <c r="D190" s="591" t="n"/>
    </row>
    <row r="191" ht="18" customHeight="1" s="562">
      <c r="A191" s="591" t="n"/>
      <c r="B191" s="591" t="n"/>
      <c r="C191" s="591" t="n"/>
      <c r="D191" s="591" t="n"/>
    </row>
    <row r="192" ht="18" customHeight="1" s="562">
      <c r="A192" s="591" t="n"/>
      <c r="B192" s="591" t="n"/>
      <c r="C192" s="591" t="n"/>
      <c r="D192" s="591" t="n"/>
    </row>
    <row r="193" ht="18" customHeight="1" s="562">
      <c r="A193" s="591" t="n"/>
      <c r="B193" s="591" t="n"/>
      <c r="C193" s="591" t="n"/>
      <c r="D193" s="591" t="n"/>
    </row>
    <row r="194" ht="18" customHeight="1" s="562">
      <c r="A194" s="591" t="n"/>
      <c r="B194" s="591" t="n"/>
      <c r="C194" s="591" t="n"/>
      <c r="D194" s="591" t="n"/>
    </row>
    <row r="195" ht="18" customHeight="1" s="562">
      <c r="A195" s="591" t="n"/>
      <c r="B195" s="591" t="n"/>
      <c r="C195" s="591" t="n"/>
      <c r="D195" s="591" t="n"/>
    </row>
    <row r="196" ht="18" customHeight="1" s="562">
      <c r="A196" s="591" t="n"/>
      <c r="B196" s="591" t="n"/>
      <c r="C196" s="591" t="n"/>
      <c r="D196" s="591" t="n"/>
    </row>
    <row r="197" ht="18" customHeight="1" s="562">
      <c r="A197" s="591" t="n"/>
      <c r="B197" s="591" t="n"/>
      <c r="C197" s="591" t="n"/>
      <c r="D197" s="591" t="n"/>
    </row>
    <row r="198" ht="18" customHeight="1" s="562">
      <c r="A198" s="591" t="n"/>
      <c r="B198" s="591" t="n"/>
      <c r="C198" s="591" t="n"/>
      <c r="D198" s="591" t="n"/>
    </row>
    <row r="199" ht="18" customHeight="1" s="562">
      <c r="A199" s="591" t="n"/>
      <c r="B199" s="591" t="n"/>
      <c r="C199" s="591" t="n"/>
      <c r="D199" s="591" t="n"/>
    </row>
    <row r="200" ht="18" customHeight="1" s="562">
      <c r="A200" s="591" t="n"/>
      <c r="B200" s="591" t="n"/>
      <c r="C200" s="591" t="n"/>
      <c r="D200" s="591" t="n"/>
    </row>
    <row r="201" ht="18" customHeight="1" s="562">
      <c r="A201" s="591" t="n"/>
      <c r="B201" s="591" t="n"/>
      <c r="C201" s="591" t="n"/>
      <c r="D201" s="591" t="n"/>
    </row>
    <row r="202" ht="18" customHeight="1" s="562">
      <c r="A202" s="591" t="n"/>
      <c r="B202" s="591" t="n"/>
      <c r="C202" s="591" t="n"/>
      <c r="D202" s="591" t="n"/>
    </row>
    <row r="203" ht="18" customHeight="1" s="562">
      <c r="A203" s="591" t="n"/>
      <c r="B203" s="591" t="n"/>
      <c r="C203" s="591" t="n"/>
      <c r="D203" s="591" t="n"/>
    </row>
    <row r="204" ht="18" customHeight="1" s="562">
      <c r="A204" s="591" t="n"/>
      <c r="B204" s="591" t="n"/>
      <c r="C204" s="591" t="n"/>
      <c r="D204" s="591" t="n"/>
    </row>
    <row r="205" ht="18" customHeight="1" s="562">
      <c r="A205" s="591" t="n"/>
      <c r="B205" s="591" t="n"/>
      <c r="C205" s="591" t="n"/>
      <c r="D205" s="591" t="n"/>
    </row>
    <row r="206" ht="18" customHeight="1" s="562">
      <c r="A206" s="591" t="n"/>
      <c r="B206" s="591" t="n"/>
      <c r="C206" s="591" t="n"/>
      <c r="D206" s="591" t="n"/>
    </row>
    <row r="207" ht="18" customHeight="1" s="562">
      <c r="A207" s="591" t="n"/>
      <c r="B207" s="591" t="n"/>
      <c r="C207" s="591" t="n"/>
      <c r="D207" s="591" t="n"/>
    </row>
    <row r="208" ht="18" customHeight="1" s="562">
      <c r="A208" s="591" t="n"/>
      <c r="B208" s="591" t="n"/>
      <c r="C208" s="591" t="n"/>
      <c r="D208" s="591" t="n"/>
    </row>
    <row r="209" ht="18" customHeight="1" s="562">
      <c r="A209" s="591" t="n"/>
      <c r="B209" s="591" t="n"/>
      <c r="C209" s="591" t="n"/>
      <c r="D209" s="591" t="n"/>
    </row>
    <row r="210" ht="18" customHeight="1" s="562">
      <c r="A210" s="591" t="n"/>
      <c r="B210" s="591" t="n"/>
      <c r="C210" s="591" t="n"/>
      <c r="D210" s="591" t="n"/>
    </row>
    <row r="211" ht="18" customHeight="1" s="562">
      <c r="A211" s="591" t="n"/>
      <c r="B211" s="591" t="n"/>
      <c r="C211" s="591" t="n"/>
      <c r="D211" s="59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G49"/>
  <sheetViews>
    <sheetView showFormulas="0" showGridLines="1" showRowColHeaders="1" showZeros="1" rightToLeft="0" tabSelected="0" showOutlineSymbols="1" defaultGridColor="1" view="normal" topLeftCell="B1" colorId="64" zoomScale="100" zoomScaleNormal="100" zoomScalePageLayoutView="100" workbookViewId="0">
      <pane xSplit="0" ySplit="1" topLeftCell="A15" activePane="bottomLeft" state="frozen"/>
      <selection pane="topLeft" activeCell="B1" activeCellId="0" sqref="B1"/>
      <selection pane="bottomLeft" activeCell="J37" activeCellId="0" sqref="J37"/>
    </sheetView>
  </sheetViews>
  <sheetFormatPr baseColWidth="8" defaultColWidth="10.4921875" defaultRowHeight="15.75" customHeight="0" zeroHeight="0" outlineLevelRow="0"/>
  <cols>
    <col width="21.5" customWidth="1" style="561" min="1" max="1"/>
    <col width="36.5" customWidth="1" style="561" min="2" max="2"/>
    <col width="27" customWidth="1" style="592" min="3" max="3"/>
    <col width="26.16" customWidth="1" style="561" min="4" max="4"/>
    <col width="27" customWidth="1" style="561" min="5" max="5"/>
    <col width="24.67" customWidth="1" style="561" min="6" max="6"/>
    <col width="14.83" customWidth="1" style="561" min="7" max="7"/>
    <col width="22" customWidth="1" style="592" min="8" max="8"/>
    <col width="28.33" customWidth="1" style="561" min="9" max="9"/>
  </cols>
  <sheetData>
    <row r="1" ht="24" customFormat="1" customHeight="1" s="593">
      <c r="A1" s="594" t="inlineStr">
        <is>
          <t xml:space="preserve">Patient Name </t>
        </is>
      </c>
      <c r="B1" s="594" t="inlineStr">
        <is>
          <t xml:space="preserve">Client Name </t>
        </is>
      </c>
      <c r="C1" s="595" t="inlineStr">
        <is>
          <t>Day Rate</t>
        </is>
      </c>
      <c r="D1" s="594" t="inlineStr">
        <is>
          <t xml:space="preserve">Monthly/ Weekly </t>
        </is>
      </c>
      <c r="E1" s="594" t="inlineStr">
        <is>
          <t xml:space="preserve">Day Shift/ Live In </t>
        </is>
      </c>
      <c r="F1" s="594" t="inlineStr">
        <is>
          <t xml:space="preserve">Full Time/ </t>
        </is>
      </c>
      <c r="G1" s="594" t="inlineStr">
        <is>
          <t>NPC/TCH</t>
        </is>
      </c>
      <c r="H1" s="595" t="inlineStr">
        <is>
          <t xml:space="preserve">Total Amount </t>
        </is>
      </c>
      <c r="I1" s="595" t="inlineStr">
        <is>
          <t xml:space="preserve">Active/ Not Active </t>
        </is>
      </c>
      <c r="J1" s="596" t="n"/>
      <c r="K1" s="596" t="n"/>
      <c r="L1" s="596" t="n"/>
    </row>
    <row r="2" ht="18" customHeight="1" s="562">
      <c r="A2" s="597" t="inlineStr">
        <is>
          <t>Pat Johnston</t>
        </is>
      </c>
      <c r="B2" s="597" t="inlineStr">
        <is>
          <t>Johnston</t>
        </is>
      </c>
      <c r="C2" s="598" t="n">
        <v>750</v>
      </c>
      <c r="D2" s="597" t="inlineStr">
        <is>
          <t xml:space="preserve">Monthly </t>
        </is>
      </c>
      <c r="E2" s="597" t="inlineStr">
        <is>
          <t>Live-In</t>
        </is>
      </c>
      <c r="F2" s="597" t="inlineStr">
        <is>
          <t>Mon- Fri</t>
        </is>
      </c>
      <c r="G2" s="597" t="inlineStr">
        <is>
          <t>NPC</t>
        </is>
      </c>
      <c r="H2" s="598" t="n"/>
      <c r="I2" s="597" t="inlineStr">
        <is>
          <t xml:space="preserve">Active </t>
        </is>
      </c>
      <c r="J2" s="591" t="n"/>
      <c r="K2" s="591" t="n"/>
      <c r="L2" s="591" t="n"/>
      <c r="M2" s="591" t="n"/>
      <c r="N2" s="591" t="n"/>
      <c r="O2" s="591" t="n"/>
      <c r="P2" s="591" t="n"/>
      <c r="Q2" s="591" t="n"/>
      <c r="R2" s="591" t="n"/>
      <c r="S2" s="591" t="n"/>
      <c r="T2" s="591" t="n"/>
      <c r="U2" s="591" t="n"/>
      <c r="V2" s="591" t="n"/>
      <c r="W2" s="591" t="n"/>
      <c r="X2" s="591" t="n"/>
      <c r="Y2" s="591" t="n"/>
      <c r="Z2" s="591" t="n"/>
      <c r="AA2" s="591" t="n"/>
      <c r="AB2" s="591" t="n"/>
      <c r="AC2" s="591" t="n"/>
      <c r="AD2" s="591" t="n"/>
      <c r="AE2" s="591" t="n"/>
      <c r="AF2" s="591" t="n"/>
      <c r="AG2" s="591" t="n"/>
    </row>
    <row r="3" ht="18" customHeight="1" s="562">
      <c r="A3" s="599" t="inlineStr">
        <is>
          <t xml:space="preserve">Tannie Annetjie </t>
        </is>
      </c>
      <c r="B3" s="599" t="inlineStr">
        <is>
          <t>Marisáne Gerber</t>
        </is>
      </c>
      <c r="C3" s="600" t="inlineStr">
        <is>
          <t>N/A</t>
        </is>
      </c>
      <c r="D3" s="599" t="inlineStr">
        <is>
          <t xml:space="preserve">Monthly </t>
        </is>
      </c>
      <c r="E3" s="599" t="inlineStr">
        <is>
          <t>Live-In</t>
        </is>
      </c>
      <c r="F3" s="599" t="inlineStr">
        <is>
          <t xml:space="preserve">Full Time </t>
        </is>
      </c>
      <c r="G3" s="599" t="inlineStr">
        <is>
          <t>NPC</t>
        </is>
      </c>
      <c r="H3" s="600" t="n">
        <v>22200</v>
      </c>
      <c r="I3" s="599" t="inlineStr">
        <is>
          <t xml:space="preserve">Not Active </t>
        </is>
      </c>
      <c r="J3" s="591" t="n"/>
      <c r="K3" s="591" t="n"/>
      <c r="L3" s="591" t="n"/>
      <c r="M3" s="591" t="n"/>
      <c r="N3" s="591" t="n"/>
      <c r="O3" s="591" t="n"/>
      <c r="P3" s="591" t="n"/>
      <c r="Q3" s="591" t="n"/>
      <c r="R3" s="591" t="n"/>
      <c r="S3" s="591" t="n"/>
      <c r="T3" s="591" t="n"/>
      <c r="U3" s="591" t="n"/>
      <c r="V3" s="591" t="n"/>
      <c r="W3" s="591" t="n"/>
      <c r="X3" s="591" t="n"/>
      <c r="Y3" s="591" t="n"/>
      <c r="Z3" s="591" t="n"/>
      <c r="AA3" s="591" t="n"/>
      <c r="AB3" s="591" t="n"/>
      <c r="AC3" s="591" t="n"/>
      <c r="AD3" s="591" t="n"/>
      <c r="AE3" s="591" t="n"/>
      <c r="AF3" s="591" t="n"/>
      <c r="AG3" s="591" t="n"/>
    </row>
    <row r="4" ht="18" customHeight="1" s="562">
      <c r="A4" s="585" t="inlineStr">
        <is>
          <t>Bierman</t>
        </is>
      </c>
      <c r="B4" s="585" t="inlineStr">
        <is>
          <t>Dr Heleen Bieman Inc</t>
        </is>
      </c>
      <c r="C4" s="601" t="n">
        <v>800</v>
      </c>
      <c r="D4" s="585" t="inlineStr">
        <is>
          <t xml:space="preserve">Monthly </t>
        </is>
      </c>
      <c r="E4" s="585" t="inlineStr">
        <is>
          <t xml:space="preserve">Day Shift </t>
        </is>
      </c>
      <c r="F4" s="585" t="inlineStr">
        <is>
          <t>Mon- Fri</t>
        </is>
      </c>
      <c r="G4" s="585" t="inlineStr">
        <is>
          <t>TCH</t>
        </is>
      </c>
      <c r="H4" s="601" t="n"/>
      <c r="I4" s="585" t="inlineStr">
        <is>
          <t xml:space="preserve">Active </t>
        </is>
      </c>
      <c r="J4" s="591" t="n"/>
      <c r="K4" s="591" t="n"/>
      <c r="L4" s="591" t="n"/>
      <c r="M4" s="591" t="n"/>
      <c r="N4" s="591" t="n"/>
      <c r="O4" s="591" t="n"/>
      <c r="P4" s="591" t="n"/>
      <c r="Q4" s="591" t="n"/>
      <c r="R4" s="591" t="n"/>
      <c r="S4" s="591" t="n"/>
      <c r="T4" s="591" t="n"/>
      <c r="U4" s="591" t="n"/>
      <c r="V4" s="591" t="n"/>
      <c r="W4" s="591" t="n"/>
      <c r="X4" s="591" t="n"/>
      <c r="Y4" s="591" t="n"/>
      <c r="Z4" s="591" t="n"/>
      <c r="AA4" s="591" t="n"/>
      <c r="AB4" s="591" t="n"/>
      <c r="AC4" s="591" t="n"/>
      <c r="AD4" s="591" t="n"/>
      <c r="AE4" s="591" t="n"/>
      <c r="AF4" s="591" t="n"/>
      <c r="AG4" s="591" t="n"/>
    </row>
    <row r="5" ht="18" customHeight="1" s="562">
      <c r="A5" s="585" t="inlineStr">
        <is>
          <t xml:space="preserve">Boets </t>
        </is>
      </c>
      <c r="B5" s="585" t="inlineStr">
        <is>
          <t xml:space="preserve">M Boets </t>
        </is>
      </c>
      <c r="C5" s="601" t="n">
        <v>750</v>
      </c>
      <c r="D5" s="585" t="inlineStr">
        <is>
          <t xml:space="preserve">Monthly </t>
        </is>
      </c>
      <c r="E5" s="585" t="inlineStr">
        <is>
          <t xml:space="preserve">Day Shift </t>
        </is>
      </c>
      <c r="F5" s="585" t="inlineStr">
        <is>
          <t>Mon- Fri</t>
        </is>
      </c>
      <c r="G5" s="585" t="inlineStr">
        <is>
          <t>TCH</t>
        </is>
      </c>
      <c r="H5" s="601" t="n"/>
      <c r="I5" s="585" t="inlineStr">
        <is>
          <t xml:space="preserve">Active </t>
        </is>
      </c>
      <c r="J5" s="591" t="n"/>
      <c r="K5" s="591" t="n"/>
      <c r="L5" s="591" t="n"/>
      <c r="M5" s="591" t="n"/>
      <c r="N5" s="591" t="n"/>
      <c r="O5" s="591" t="n"/>
      <c r="P5" s="591" t="n"/>
      <c r="Q5" s="591" t="n"/>
      <c r="R5" s="591" t="n"/>
      <c r="S5" s="591" t="n"/>
      <c r="T5" s="591" t="n"/>
      <c r="U5" s="591" t="n"/>
      <c r="V5" s="591" t="n"/>
      <c r="W5" s="591" t="n"/>
      <c r="X5" s="591" t="n"/>
      <c r="Y5" s="591" t="n"/>
      <c r="Z5" s="591" t="n"/>
      <c r="AA5" s="591" t="n"/>
      <c r="AB5" s="591" t="n"/>
      <c r="AC5" s="591" t="n"/>
      <c r="AD5" s="591" t="n"/>
      <c r="AE5" s="591" t="n"/>
      <c r="AF5" s="591" t="n"/>
      <c r="AG5" s="591" t="n"/>
    </row>
    <row r="6" ht="18" customFormat="1" customHeight="1" s="602">
      <c r="A6" s="599" t="inlineStr">
        <is>
          <t xml:space="preserve">Roos </t>
        </is>
      </c>
      <c r="B6" s="599" t="inlineStr">
        <is>
          <t>Andries Van der Merwe</t>
        </is>
      </c>
      <c r="C6" s="600" t="n">
        <v>700</v>
      </c>
      <c r="D6" s="599" t="inlineStr">
        <is>
          <t xml:space="preserve">Monthly </t>
        </is>
      </c>
      <c r="E6" s="599" t="inlineStr">
        <is>
          <t xml:space="preserve">Day Shift </t>
        </is>
      </c>
      <c r="F6" s="599" t="inlineStr">
        <is>
          <t>Mon- Fri</t>
        </is>
      </c>
      <c r="G6" s="599" t="inlineStr">
        <is>
          <t>TCH</t>
        </is>
      </c>
      <c r="H6" s="600" t="n"/>
      <c r="I6" s="599" t="inlineStr">
        <is>
          <t xml:space="preserve">Not Active </t>
        </is>
      </c>
      <c r="J6" s="591" t="n"/>
      <c r="K6" s="591" t="n"/>
      <c r="L6" s="591" t="n"/>
      <c r="M6" s="591" t="n"/>
      <c r="N6" s="591" t="n"/>
      <c r="O6" s="591" t="n"/>
      <c r="P6" s="591" t="n"/>
      <c r="Q6" s="591" t="n"/>
      <c r="R6" s="591" t="n"/>
      <c r="S6" s="591" t="n"/>
      <c r="T6" s="591" t="n"/>
      <c r="U6" s="591" t="n"/>
      <c r="V6" s="591" t="n"/>
      <c r="W6" s="591" t="n"/>
      <c r="X6" s="591" t="n"/>
      <c r="Y6" s="591" t="n"/>
      <c r="Z6" s="591" t="n"/>
      <c r="AA6" s="591" t="n"/>
      <c r="AB6" s="591" t="n"/>
      <c r="AC6" s="591" t="n"/>
      <c r="AD6" s="591" t="n"/>
      <c r="AE6" s="591" t="n"/>
      <c r="AF6" s="591" t="n"/>
      <c r="AG6" s="591" t="n"/>
    </row>
    <row r="7" ht="18" customHeight="1" s="562">
      <c r="A7" s="585" t="inlineStr">
        <is>
          <t xml:space="preserve">Le Roux </t>
        </is>
      </c>
      <c r="B7" s="585" t="inlineStr">
        <is>
          <t>Dr DA Le Roux Inc</t>
        </is>
      </c>
      <c r="C7" s="601" t="n">
        <v>750</v>
      </c>
      <c r="D7" s="585" t="inlineStr">
        <is>
          <t xml:space="preserve">Monthly </t>
        </is>
      </c>
      <c r="E7" s="585" t="inlineStr">
        <is>
          <t xml:space="preserve">Day Shift </t>
        </is>
      </c>
      <c r="F7" s="585" t="inlineStr">
        <is>
          <t>Every Thursday</t>
        </is>
      </c>
      <c r="G7" s="585" t="inlineStr">
        <is>
          <t>TCH</t>
        </is>
      </c>
      <c r="H7" s="601" t="n"/>
      <c r="I7" s="585" t="inlineStr">
        <is>
          <t xml:space="preserve">Active </t>
        </is>
      </c>
      <c r="J7" s="591" t="n"/>
      <c r="K7" s="591" t="n"/>
      <c r="L7" s="591" t="n"/>
      <c r="M7" s="591" t="n"/>
      <c r="N7" s="591" t="n"/>
      <c r="O7" s="591" t="n"/>
      <c r="P7" s="591" t="n"/>
      <c r="Q7" s="591" t="n"/>
      <c r="R7" s="591" t="n"/>
      <c r="S7" s="591" t="n"/>
      <c r="T7" s="591" t="n"/>
      <c r="U7" s="591" t="n"/>
      <c r="V7" s="591" t="n"/>
      <c r="W7" s="591" t="n"/>
      <c r="X7" s="591" t="n"/>
      <c r="Y7" s="591" t="n"/>
      <c r="Z7" s="591" t="n"/>
      <c r="AA7" s="591" t="n"/>
      <c r="AB7" s="591" t="n"/>
      <c r="AC7" s="591" t="n"/>
      <c r="AD7" s="591" t="n"/>
      <c r="AE7" s="591" t="n"/>
      <c r="AF7" s="591" t="n"/>
      <c r="AG7" s="591" t="n"/>
    </row>
    <row r="8" ht="18" customHeight="1" s="562">
      <c r="A8" s="585" t="inlineStr">
        <is>
          <t>Ras</t>
        </is>
      </c>
      <c r="B8" s="585" t="inlineStr">
        <is>
          <t>Marinus Ras</t>
        </is>
      </c>
      <c r="C8" s="601" t="n">
        <v>850</v>
      </c>
      <c r="D8" s="585" t="inlineStr">
        <is>
          <t xml:space="preserve">Monthly </t>
        </is>
      </c>
      <c r="E8" s="585" t="inlineStr">
        <is>
          <t>Live-In</t>
        </is>
      </c>
      <c r="F8" s="585" t="inlineStr">
        <is>
          <t xml:space="preserve">14 Days Per Month </t>
        </is>
      </c>
      <c r="G8" s="585" t="inlineStr">
        <is>
          <t>TCH</t>
        </is>
      </c>
      <c r="H8" s="601" t="n">
        <v>11900</v>
      </c>
      <c r="I8" s="585" t="inlineStr">
        <is>
          <t xml:space="preserve">Active </t>
        </is>
      </c>
      <c r="J8" s="591" t="n"/>
      <c r="K8" s="591" t="n"/>
      <c r="L8" s="591" t="n"/>
      <c r="M8" s="591" t="n"/>
      <c r="N8" s="591" t="n"/>
      <c r="O8" s="591" t="n"/>
      <c r="P8" s="591" t="n"/>
      <c r="Q8" s="591" t="n"/>
      <c r="R8" s="591" t="n"/>
      <c r="S8" s="591" t="n"/>
      <c r="T8" s="591" t="n"/>
      <c r="U8" s="591" t="n"/>
      <c r="V8" s="591" t="n"/>
      <c r="W8" s="591" t="n"/>
      <c r="X8" s="591" t="n"/>
      <c r="Y8" s="591" t="n"/>
      <c r="Z8" s="591" t="n"/>
      <c r="AA8" s="591" t="n"/>
      <c r="AB8" s="591" t="n"/>
      <c r="AC8" s="591" t="n"/>
      <c r="AD8" s="591" t="n"/>
      <c r="AE8" s="591" t="n"/>
      <c r="AF8" s="591" t="n"/>
      <c r="AG8" s="591" t="n"/>
    </row>
    <row r="9" ht="18" customHeight="1" s="562">
      <c r="A9" s="585" t="inlineStr">
        <is>
          <t>Tannie Klientjie</t>
        </is>
      </c>
      <c r="B9" s="585" t="inlineStr">
        <is>
          <t>Brenda Havenga</t>
        </is>
      </c>
      <c r="C9" s="601" t="inlineStr">
        <is>
          <t>N/A</t>
        </is>
      </c>
      <c r="D9" s="585" t="inlineStr">
        <is>
          <t xml:space="preserve">Monthly </t>
        </is>
      </c>
      <c r="E9" s="585" t="inlineStr">
        <is>
          <t>Live-In</t>
        </is>
      </c>
      <c r="F9" s="585" t="inlineStr">
        <is>
          <t xml:space="preserve">Full Time </t>
        </is>
      </c>
      <c r="G9" s="585" t="inlineStr">
        <is>
          <t>TCH</t>
        </is>
      </c>
      <c r="H9" s="601" t="n">
        <v>23250</v>
      </c>
      <c r="I9" s="585" t="inlineStr">
        <is>
          <t xml:space="preserve">Active </t>
        </is>
      </c>
      <c r="J9" s="591" t="n"/>
      <c r="K9" s="591" t="n"/>
      <c r="L9" s="591" t="n"/>
      <c r="M9" s="591" t="n"/>
      <c r="N9" s="591" t="n"/>
      <c r="O9" s="591" t="n"/>
      <c r="P9" s="591" t="n"/>
      <c r="Q9" s="591" t="n"/>
      <c r="R9" s="591" t="n"/>
      <c r="S9" s="591" t="n"/>
      <c r="T9" s="591" t="n"/>
      <c r="U9" s="591" t="n"/>
      <c r="V9" s="591" t="n"/>
      <c r="W9" s="591" t="n"/>
      <c r="X9" s="591" t="n"/>
      <c r="Y9" s="591" t="n"/>
      <c r="Z9" s="591" t="n"/>
      <c r="AA9" s="591" t="n"/>
      <c r="AB9" s="591" t="n"/>
      <c r="AC9" s="591" t="n"/>
      <c r="AD9" s="591" t="n"/>
      <c r="AE9" s="591" t="n"/>
      <c r="AF9" s="591" t="n"/>
      <c r="AG9" s="591" t="n"/>
    </row>
    <row r="10" ht="18" customHeight="1" s="562">
      <c r="A10" s="599" t="inlineStr">
        <is>
          <t>Theron</t>
        </is>
      </c>
      <c r="B10" s="599" t="inlineStr">
        <is>
          <t>Quintus Theron</t>
        </is>
      </c>
      <c r="C10" s="600" t="n">
        <v>750</v>
      </c>
      <c r="D10" s="599" t="inlineStr">
        <is>
          <t xml:space="preserve">Monthly </t>
        </is>
      </c>
      <c r="E10" s="599" t="inlineStr">
        <is>
          <t xml:space="preserve">Day Shift </t>
        </is>
      </c>
      <c r="F10" s="599" t="inlineStr">
        <is>
          <t>Mon- Fri</t>
        </is>
      </c>
      <c r="G10" s="599" t="inlineStr">
        <is>
          <t>TCH</t>
        </is>
      </c>
      <c r="H10" s="600" t="n"/>
      <c r="I10" s="599" t="inlineStr">
        <is>
          <t xml:space="preserve">Not Active </t>
        </is>
      </c>
      <c r="J10" s="591" t="n"/>
      <c r="K10" s="591" t="n"/>
      <c r="L10" s="591" t="n"/>
      <c r="M10" s="591" t="n"/>
      <c r="N10" s="591" t="n"/>
      <c r="O10" s="591" t="n"/>
      <c r="P10" s="591" t="n"/>
      <c r="Q10" s="591" t="n"/>
      <c r="R10" s="591" t="n"/>
      <c r="S10" s="591" t="n"/>
      <c r="T10" s="591" t="n"/>
      <c r="U10" s="591" t="n"/>
      <c r="V10" s="591" t="n"/>
      <c r="W10" s="591" t="n"/>
      <c r="X10" s="591" t="n"/>
      <c r="Y10" s="591" t="n"/>
      <c r="Z10" s="591" t="n"/>
      <c r="AA10" s="591" t="n"/>
      <c r="AB10" s="591" t="n"/>
      <c r="AC10" s="591" t="n"/>
      <c r="AD10" s="591" t="n"/>
      <c r="AE10" s="591" t="n"/>
      <c r="AF10" s="591" t="n"/>
      <c r="AG10" s="591" t="n"/>
    </row>
    <row r="11" ht="18" customHeight="1" s="562">
      <c r="A11" s="585" t="inlineStr">
        <is>
          <t>Du Plessis</t>
        </is>
      </c>
      <c r="B11" s="585" t="inlineStr">
        <is>
          <t>Mathilnda Louisa Du Plessis</t>
        </is>
      </c>
      <c r="C11" s="585" t="inlineStr">
        <is>
          <t>N/A</t>
        </is>
      </c>
      <c r="D11" s="585" t="inlineStr">
        <is>
          <t xml:space="preserve">Monthly </t>
        </is>
      </c>
      <c r="E11" s="585" t="inlineStr">
        <is>
          <t xml:space="preserve">Day Shift </t>
        </is>
      </c>
      <c r="F11" s="585" t="inlineStr">
        <is>
          <t>Mon- Fri</t>
        </is>
      </c>
      <c r="G11" s="585" t="inlineStr">
        <is>
          <t>TCH</t>
        </is>
      </c>
      <c r="H11" s="601" t="n">
        <v>12500</v>
      </c>
      <c r="I11" s="585" t="inlineStr">
        <is>
          <t xml:space="preserve">Active </t>
        </is>
      </c>
      <c r="J11" s="591" t="n"/>
      <c r="K11" s="591" t="n"/>
      <c r="L11" s="591" t="n"/>
      <c r="M11" s="591" t="n"/>
      <c r="N11" s="591" t="n"/>
      <c r="O11" s="591" t="n"/>
      <c r="P11" s="591" t="n"/>
      <c r="Q11" s="591" t="n"/>
      <c r="R11" s="591" t="n"/>
      <c r="S11" s="591" t="n"/>
      <c r="T11" s="591" t="n"/>
      <c r="U11" s="591" t="n"/>
      <c r="V11" s="591" t="n"/>
      <c r="W11" s="591" t="n"/>
      <c r="X11" s="591" t="n"/>
      <c r="Y11" s="591" t="n"/>
      <c r="Z11" s="591" t="n"/>
      <c r="AA11" s="591" t="n"/>
      <c r="AB11" s="591" t="n"/>
      <c r="AC11" s="591" t="n"/>
      <c r="AD11" s="591" t="n"/>
      <c r="AE11" s="591" t="n"/>
      <c r="AF11" s="591" t="n"/>
      <c r="AG11" s="591" t="n"/>
    </row>
    <row r="12" ht="18" customHeight="1" s="562">
      <c r="A12" s="585" t="inlineStr">
        <is>
          <t xml:space="preserve">Barnes </t>
        </is>
      </c>
      <c r="B12" s="585" t="inlineStr">
        <is>
          <t>Megan Louise Barnes</t>
        </is>
      </c>
      <c r="C12" s="601" t="inlineStr">
        <is>
          <t>N/A</t>
        </is>
      </c>
      <c r="D12" s="585" t="inlineStr">
        <is>
          <t xml:space="preserve">Monthly </t>
        </is>
      </c>
      <c r="E12" s="585" t="inlineStr">
        <is>
          <t xml:space="preserve">Day Shift </t>
        </is>
      </c>
      <c r="F12" s="585" t="inlineStr">
        <is>
          <t xml:space="preserve">20 days per month </t>
        </is>
      </c>
      <c r="G12" s="585" t="inlineStr">
        <is>
          <t>TCH</t>
        </is>
      </c>
      <c r="H12" s="601" t="n">
        <v>13000</v>
      </c>
      <c r="I12" s="585" t="inlineStr">
        <is>
          <t xml:space="preserve">Active </t>
        </is>
      </c>
      <c r="J12" s="591" t="n"/>
      <c r="K12" s="591" t="n"/>
      <c r="L12" s="591" t="n"/>
      <c r="M12" s="591" t="n"/>
      <c r="N12" s="591" t="n"/>
      <c r="O12" s="591" t="n"/>
      <c r="P12" s="591" t="n"/>
      <c r="Q12" s="591" t="n"/>
      <c r="R12" s="591" t="n"/>
      <c r="S12" s="591" t="n"/>
      <c r="T12" s="591" t="n"/>
      <c r="U12" s="591" t="n"/>
      <c r="V12" s="591" t="n"/>
      <c r="W12" s="591" t="n"/>
      <c r="X12" s="591" t="n"/>
      <c r="Y12" s="591" t="n"/>
      <c r="Z12" s="591" t="n"/>
      <c r="AA12" s="591" t="n"/>
      <c r="AB12" s="591" t="n"/>
      <c r="AC12" s="591" t="n"/>
      <c r="AD12" s="591" t="n"/>
      <c r="AE12" s="591" t="n"/>
      <c r="AF12" s="591" t="n"/>
      <c r="AG12" s="591" t="n"/>
    </row>
    <row r="13" ht="18" customFormat="1" customHeight="1" s="602">
      <c r="A13" s="599" t="inlineStr">
        <is>
          <t>Sui Fon</t>
        </is>
      </c>
      <c r="B13" s="599" t="inlineStr">
        <is>
          <t xml:space="preserve">Julian Sam </t>
        </is>
      </c>
      <c r="C13" s="600" t="n">
        <v>678.5700000000001</v>
      </c>
      <c r="D13" s="599" t="inlineStr">
        <is>
          <t xml:space="preserve">Weekly </t>
        </is>
      </c>
      <c r="E13" s="599" t="inlineStr">
        <is>
          <t xml:space="preserve">Day Shift </t>
        </is>
      </c>
      <c r="F13" s="599" t="inlineStr">
        <is>
          <t xml:space="preserve">Discuss Weekly </t>
        </is>
      </c>
      <c r="G13" s="599" t="inlineStr">
        <is>
          <t>TCH</t>
        </is>
      </c>
      <c r="H13" s="600" t="n"/>
      <c r="I13" s="599" t="inlineStr">
        <is>
          <t xml:space="preserve">Not Active </t>
        </is>
      </c>
      <c r="J13" s="591" t="n"/>
      <c r="K13" s="591" t="n"/>
      <c r="L13" s="591" t="n"/>
      <c r="M13" s="591" t="n"/>
      <c r="N13" s="591" t="n"/>
      <c r="O13" s="591" t="n"/>
      <c r="P13" s="591" t="n"/>
      <c r="Q13" s="591" t="n"/>
      <c r="R13" s="591" t="n"/>
      <c r="S13" s="591" t="n"/>
      <c r="T13" s="591" t="n"/>
      <c r="U13" s="591" t="n"/>
      <c r="V13" s="591" t="n"/>
      <c r="W13" s="591" t="n"/>
      <c r="X13" s="591" t="n"/>
      <c r="Y13" s="591" t="n"/>
      <c r="Z13" s="591" t="n"/>
      <c r="AA13" s="591" t="n"/>
      <c r="AB13" s="591" t="n"/>
      <c r="AC13" s="591" t="n"/>
      <c r="AD13" s="591" t="n"/>
      <c r="AE13" s="591" t="n"/>
      <c r="AF13" s="591" t="n"/>
      <c r="AG13" s="591" t="n"/>
    </row>
    <row r="14" ht="18" customHeight="1" s="562">
      <c r="A14" s="585" t="inlineStr">
        <is>
          <t xml:space="preserve">Papau </t>
        </is>
      </c>
      <c r="B14" s="585" t="inlineStr">
        <is>
          <t>Angela Emily Piper</t>
        </is>
      </c>
      <c r="C14" s="601" t="n">
        <v>950</v>
      </c>
      <c r="D14" s="603" t="inlineStr">
        <is>
          <t xml:space="preserve">Weekly </t>
        </is>
      </c>
      <c r="E14" s="585" t="inlineStr">
        <is>
          <t>Live-In</t>
        </is>
      </c>
      <c r="F14" s="585" t="inlineStr">
        <is>
          <t xml:space="preserve">Full Time </t>
        </is>
      </c>
      <c r="G14" s="585" t="inlineStr">
        <is>
          <t>TCH</t>
        </is>
      </c>
      <c r="H14" s="601" t="n">
        <v>6650</v>
      </c>
      <c r="I14" s="585" t="inlineStr">
        <is>
          <t xml:space="preserve">Active </t>
        </is>
      </c>
      <c r="J14" s="591" t="n"/>
      <c r="K14" s="591" t="n"/>
      <c r="L14" s="591" t="n"/>
      <c r="M14" s="591" t="n"/>
      <c r="N14" s="591" t="n"/>
      <c r="O14" s="591" t="n"/>
      <c r="P14" s="591" t="n"/>
      <c r="Q14" s="591" t="n"/>
      <c r="R14" s="591" t="n"/>
      <c r="S14" s="591" t="n"/>
      <c r="T14" s="591" t="n"/>
      <c r="U14" s="591" t="n"/>
      <c r="V14" s="591" t="n"/>
      <c r="W14" s="591" t="n"/>
      <c r="X14" s="591" t="n"/>
      <c r="Y14" s="591" t="n"/>
      <c r="Z14" s="591" t="n"/>
      <c r="AA14" s="591" t="n"/>
      <c r="AB14" s="591" t="n"/>
      <c r="AC14" s="591" t="n"/>
      <c r="AD14" s="591" t="n"/>
      <c r="AE14" s="591" t="n"/>
      <c r="AF14" s="591" t="n"/>
      <c r="AG14" s="591" t="n"/>
    </row>
    <row r="15" ht="18" customFormat="1" customHeight="1" s="602">
      <c r="A15" s="599" t="inlineStr">
        <is>
          <t xml:space="preserve">Wessels </t>
        </is>
      </c>
      <c r="B15" s="599" t="inlineStr">
        <is>
          <t xml:space="preserve">Veron Wessels </t>
        </is>
      </c>
      <c r="C15" s="600" t="n">
        <v>1050</v>
      </c>
      <c r="D15" s="599" t="inlineStr">
        <is>
          <t xml:space="preserve">Monthly </t>
        </is>
      </c>
      <c r="E15" s="599" t="inlineStr">
        <is>
          <t xml:space="preserve">Day Shift </t>
        </is>
      </c>
      <c r="F15" s="599" t="inlineStr">
        <is>
          <t>Every Wednesday</t>
        </is>
      </c>
      <c r="G15" s="599" t="inlineStr">
        <is>
          <t>TCH</t>
        </is>
      </c>
      <c r="H15" s="600" t="n"/>
      <c r="I15" s="599" t="inlineStr">
        <is>
          <t xml:space="preserve">Not Active </t>
        </is>
      </c>
      <c r="J15" s="591" t="n"/>
      <c r="K15" s="591" t="n"/>
      <c r="L15" s="591" t="n"/>
      <c r="M15" s="591" t="n"/>
      <c r="N15" s="591" t="n"/>
      <c r="O15" s="591" t="n"/>
      <c r="P15" s="591" t="n"/>
      <c r="Q15" s="591" t="n"/>
      <c r="R15" s="591" t="n"/>
      <c r="S15" s="591" t="n"/>
      <c r="T15" s="591" t="n"/>
      <c r="U15" s="591" t="n"/>
      <c r="V15" s="591" t="n"/>
      <c r="W15" s="591" t="n"/>
      <c r="X15" s="591" t="n"/>
      <c r="Y15" s="591" t="n"/>
      <c r="Z15" s="591" t="n"/>
      <c r="AA15" s="591" t="n"/>
      <c r="AB15" s="591" t="n"/>
      <c r="AC15" s="591" t="n"/>
      <c r="AD15" s="591" t="n"/>
      <c r="AE15" s="591" t="n"/>
      <c r="AF15" s="591" t="n"/>
      <c r="AG15" s="591" t="n"/>
    </row>
    <row r="16" ht="18" customFormat="1" customHeight="1" s="602">
      <c r="A16" s="599" t="inlineStr">
        <is>
          <t>Lotz</t>
        </is>
      </c>
      <c r="B16" s="599" t="inlineStr">
        <is>
          <t>Rene Lotz</t>
        </is>
      </c>
      <c r="C16" s="600" t="n">
        <v>800</v>
      </c>
      <c r="D16" s="599" t="inlineStr">
        <is>
          <t xml:space="preserve">Weekly </t>
        </is>
      </c>
      <c r="E16" s="599" t="inlineStr">
        <is>
          <t xml:space="preserve">Day Shift </t>
        </is>
      </c>
      <c r="F16" s="599" t="inlineStr">
        <is>
          <t>Mon- Fri</t>
        </is>
      </c>
      <c r="G16" s="599" t="inlineStr">
        <is>
          <t>TCH</t>
        </is>
      </c>
      <c r="H16" s="600" t="n"/>
      <c r="I16" s="599" t="inlineStr">
        <is>
          <t xml:space="preserve">Not Active </t>
        </is>
      </c>
      <c r="J16" s="591" t="n"/>
      <c r="K16" s="591" t="n"/>
      <c r="L16" s="591" t="n"/>
      <c r="M16" s="591" t="n"/>
      <c r="N16" s="591" t="n"/>
      <c r="O16" s="591" t="n"/>
      <c r="P16" s="591" t="n"/>
      <c r="Q16" s="591" t="n"/>
      <c r="R16" s="591" t="n"/>
      <c r="S16" s="591" t="n"/>
      <c r="T16" s="591" t="n"/>
      <c r="U16" s="591" t="n"/>
      <c r="V16" s="591" t="n"/>
      <c r="W16" s="591" t="n"/>
      <c r="X16" s="591" t="n"/>
      <c r="Y16" s="591" t="n"/>
      <c r="Z16" s="591" t="n"/>
      <c r="AA16" s="591" t="n"/>
      <c r="AB16" s="591" t="n"/>
      <c r="AC16" s="591" t="n"/>
      <c r="AD16" s="591" t="n"/>
      <c r="AE16" s="591" t="n"/>
      <c r="AF16" s="591" t="n"/>
      <c r="AG16" s="591" t="n"/>
    </row>
    <row r="17" ht="18" customHeight="1" s="562">
      <c r="A17" s="585" t="inlineStr">
        <is>
          <t>Scroope</t>
        </is>
      </c>
      <c r="B17" s="585" t="inlineStr">
        <is>
          <t>Jonathan Scroope</t>
        </is>
      </c>
      <c r="C17" s="601" t="n">
        <v>2500</v>
      </c>
      <c r="D17" s="585" t="inlineStr">
        <is>
          <t xml:space="preserve">As and when </t>
        </is>
      </c>
      <c r="E17" s="585" t="inlineStr">
        <is>
          <t>Live-In</t>
        </is>
      </c>
      <c r="F17" s="585" t="inlineStr">
        <is>
          <t>Fri-Mon</t>
        </is>
      </c>
      <c r="G17" s="585" t="inlineStr">
        <is>
          <t>TCH</t>
        </is>
      </c>
      <c r="H17" s="601" t="n"/>
      <c r="I17" s="585" t="inlineStr">
        <is>
          <t xml:space="preserve">Active </t>
        </is>
      </c>
      <c r="J17" s="591" t="n"/>
      <c r="K17" s="591" t="n"/>
      <c r="L17" s="591" t="n"/>
      <c r="M17" s="591" t="n"/>
      <c r="N17" s="591" t="n"/>
      <c r="O17" s="591" t="n"/>
      <c r="P17" s="591" t="n"/>
      <c r="Q17" s="591" t="n"/>
      <c r="R17" s="591" t="n"/>
      <c r="S17" s="591" t="n"/>
      <c r="T17" s="591" t="n"/>
      <c r="U17" s="591" t="n"/>
      <c r="V17" s="591" t="n"/>
      <c r="W17" s="591" t="n"/>
      <c r="X17" s="591" t="n"/>
      <c r="Y17" s="591" t="n"/>
      <c r="Z17" s="591" t="n"/>
      <c r="AA17" s="591" t="n"/>
      <c r="AB17" s="591" t="n"/>
      <c r="AC17" s="591" t="n"/>
      <c r="AD17" s="591" t="n"/>
      <c r="AE17" s="591" t="n"/>
      <c r="AF17" s="591" t="n"/>
      <c r="AG17" s="591" t="n"/>
    </row>
    <row r="18" ht="18" customFormat="1" customHeight="1" s="602">
      <c r="A18" s="599" t="inlineStr">
        <is>
          <t>Diane Blumenthal</t>
        </is>
      </c>
      <c r="B18" s="599" t="inlineStr">
        <is>
          <t>Darren Blumenthal</t>
        </is>
      </c>
      <c r="C18" s="600" t="n">
        <v>900</v>
      </c>
      <c r="D18" s="599" t="inlineStr">
        <is>
          <t xml:space="preserve">As and when </t>
        </is>
      </c>
      <c r="E18" s="599" t="inlineStr">
        <is>
          <t>Night Shift</t>
        </is>
      </c>
      <c r="F18" s="599" t="inlineStr">
        <is>
          <t>3 days</t>
        </is>
      </c>
      <c r="G18" s="599" t="inlineStr">
        <is>
          <t>TCH</t>
        </is>
      </c>
      <c r="H18" s="600" t="n"/>
      <c r="I18" s="599" t="inlineStr">
        <is>
          <t xml:space="preserve">Not Active </t>
        </is>
      </c>
      <c r="J18" s="591" t="n"/>
      <c r="K18" s="591" t="n"/>
      <c r="L18" s="591" t="n"/>
      <c r="M18" s="591" t="n"/>
      <c r="N18" s="591" t="n"/>
      <c r="O18" s="591" t="n"/>
      <c r="P18" s="591" t="n"/>
      <c r="Q18" s="591" t="n"/>
      <c r="R18" s="591" t="n"/>
      <c r="S18" s="591" t="n"/>
      <c r="T18" s="591" t="n"/>
      <c r="U18" s="591" t="n"/>
      <c r="V18" s="591" t="n"/>
      <c r="W18" s="591" t="n"/>
      <c r="X18" s="591" t="n"/>
      <c r="Y18" s="591" t="n"/>
      <c r="Z18" s="591" t="n"/>
      <c r="AA18" s="591" t="n"/>
      <c r="AB18" s="591" t="n"/>
      <c r="AC18" s="591" t="n"/>
      <c r="AD18" s="591" t="n"/>
      <c r="AE18" s="591" t="n"/>
      <c r="AF18" s="591" t="n"/>
      <c r="AG18" s="591" t="n"/>
    </row>
    <row r="19" ht="18" customHeight="1" s="562">
      <c r="A19" s="585" t="inlineStr">
        <is>
          <t>Cecily Hall</t>
        </is>
      </c>
      <c r="B19" s="585" t="inlineStr">
        <is>
          <t>Derke Hall</t>
        </is>
      </c>
      <c r="C19" s="601" t="n">
        <v>750</v>
      </c>
      <c r="D19" s="585" t="inlineStr">
        <is>
          <t xml:space="preserve">Monthly </t>
        </is>
      </c>
      <c r="E19" s="585" t="inlineStr">
        <is>
          <t xml:space="preserve">Day Shift </t>
        </is>
      </c>
      <c r="F19" s="585" t="inlineStr">
        <is>
          <t>Mon- Fri</t>
        </is>
      </c>
      <c r="G19" s="585" t="inlineStr">
        <is>
          <t>TCH</t>
        </is>
      </c>
      <c r="H19" s="601" t="n"/>
      <c r="I19" s="585" t="inlineStr">
        <is>
          <t xml:space="preserve">Active </t>
        </is>
      </c>
      <c r="J19" s="591" t="n"/>
      <c r="K19" s="591" t="n"/>
      <c r="L19" s="591" t="n"/>
      <c r="M19" s="591" t="n"/>
      <c r="N19" s="591" t="n"/>
      <c r="O19" s="591" t="n"/>
      <c r="P19" s="591" t="n"/>
      <c r="Q19" s="591" t="n"/>
      <c r="R19" s="591" t="n"/>
      <c r="S19" s="591" t="n"/>
      <c r="T19" s="591" t="n"/>
      <c r="U19" s="591" t="n"/>
      <c r="V19" s="591" t="n"/>
      <c r="W19" s="591" t="n"/>
      <c r="X19" s="591" t="n"/>
      <c r="Y19" s="591" t="n"/>
      <c r="Z19" s="591" t="n"/>
      <c r="AA19" s="591" t="n"/>
      <c r="AB19" s="591" t="n"/>
      <c r="AC19" s="591" t="n"/>
      <c r="AD19" s="591" t="n"/>
      <c r="AE19" s="591" t="n"/>
      <c r="AF19" s="591" t="n"/>
      <c r="AG19" s="591" t="n"/>
    </row>
    <row r="20" ht="18" customFormat="1" customHeight="1" s="602">
      <c r="A20" s="599" t="inlineStr">
        <is>
          <t>Morrison</t>
        </is>
      </c>
      <c r="B20" s="599" t="inlineStr">
        <is>
          <t xml:space="preserve">Sandra Nell Morrison </t>
        </is>
      </c>
      <c r="C20" s="600" t="n">
        <v>750</v>
      </c>
      <c r="D20" s="599" t="inlineStr">
        <is>
          <t xml:space="preserve">Weekly </t>
        </is>
      </c>
      <c r="E20" s="599" t="inlineStr">
        <is>
          <t xml:space="preserve">Day Shift </t>
        </is>
      </c>
      <c r="F20" s="599" t="inlineStr">
        <is>
          <t>Mon- Fri</t>
        </is>
      </c>
      <c r="G20" s="599" t="inlineStr">
        <is>
          <t>TCH</t>
        </is>
      </c>
      <c r="H20" s="600" t="n"/>
      <c r="I20" s="599" t="inlineStr">
        <is>
          <t xml:space="preserve">Not Active </t>
        </is>
      </c>
      <c r="J20" s="591" t="n"/>
      <c r="K20" s="591" t="n"/>
      <c r="L20" s="591" t="n"/>
      <c r="M20" s="591" t="n"/>
      <c r="N20" s="591" t="n"/>
      <c r="O20" s="591" t="n"/>
      <c r="P20" s="591" t="n"/>
      <c r="Q20" s="591" t="n"/>
      <c r="R20" s="591" t="n"/>
      <c r="S20" s="591" t="n"/>
      <c r="T20" s="591" t="n"/>
      <c r="U20" s="591" t="n"/>
      <c r="V20" s="591" t="n"/>
      <c r="W20" s="591" t="n"/>
      <c r="X20" s="591" t="n"/>
      <c r="Y20" s="591" t="n"/>
      <c r="Z20" s="591" t="n"/>
      <c r="AA20" s="591" t="n"/>
      <c r="AB20" s="591" t="n"/>
      <c r="AC20" s="591" t="n"/>
      <c r="AD20" s="591" t="n"/>
      <c r="AE20" s="591" t="n"/>
      <c r="AF20" s="591" t="n"/>
      <c r="AG20" s="591" t="n"/>
    </row>
    <row r="21" ht="18" customFormat="1" customHeight="1" s="602">
      <c r="A21" s="599" t="inlineStr">
        <is>
          <t>Anne Botha</t>
        </is>
      </c>
      <c r="B21" s="599" t="inlineStr">
        <is>
          <t xml:space="preserve">Berthe Botha </t>
        </is>
      </c>
      <c r="C21" s="600" t="n">
        <v>750</v>
      </c>
      <c r="D21" s="599" t="inlineStr">
        <is>
          <t xml:space="preserve">As and when </t>
        </is>
      </c>
      <c r="E21" s="599" t="inlineStr">
        <is>
          <t xml:space="preserve">Day Shift </t>
        </is>
      </c>
      <c r="F21" s="599" t="n"/>
      <c r="G21" s="599" t="inlineStr">
        <is>
          <t>TCH</t>
        </is>
      </c>
      <c r="H21" s="600" t="n"/>
      <c r="I21" s="599" t="inlineStr">
        <is>
          <t xml:space="preserve">Not Active </t>
        </is>
      </c>
      <c r="J21" s="591" t="n"/>
      <c r="K21" s="591" t="n"/>
      <c r="L21" s="591" t="n"/>
      <c r="M21" s="591" t="n"/>
      <c r="N21" s="591" t="n"/>
      <c r="O21" s="591" t="n"/>
      <c r="P21" s="591" t="n"/>
      <c r="Q21" s="591" t="n"/>
      <c r="R21" s="591" t="n"/>
      <c r="S21" s="591" t="n"/>
      <c r="T21" s="591" t="n"/>
      <c r="U21" s="591" t="n"/>
      <c r="V21" s="591" t="n"/>
      <c r="W21" s="591" t="n"/>
      <c r="X21" s="591" t="n"/>
      <c r="Y21" s="591" t="n"/>
      <c r="Z21" s="591" t="n"/>
      <c r="AA21" s="591" t="n"/>
      <c r="AB21" s="591" t="n"/>
      <c r="AC21" s="591" t="n"/>
      <c r="AD21" s="591" t="n"/>
      <c r="AE21" s="591" t="n"/>
      <c r="AF21" s="591" t="n"/>
      <c r="AG21" s="591" t="n"/>
    </row>
    <row r="22" ht="18" customHeight="1" s="562">
      <c r="A22" s="585" t="inlineStr">
        <is>
          <t xml:space="preserve">Scholtz </t>
        </is>
      </c>
      <c r="B22" s="585" t="inlineStr">
        <is>
          <t>Dr CPT Scholtz</t>
        </is>
      </c>
      <c r="C22" s="601" t="n">
        <v>750</v>
      </c>
      <c r="D22" s="585" t="n"/>
      <c r="E22" s="585" t="inlineStr">
        <is>
          <t xml:space="preserve">Day Shift </t>
        </is>
      </c>
      <c r="F22" s="585" t="inlineStr">
        <is>
          <t>Mon &amp; Thur</t>
        </is>
      </c>
      <c r="G22" s="585" t="inlineStr">
        <is>
          <t>TCH</t>
        </is>
      </c>
      <c r="H22" s="601" t="n"/>
      <c r="I22" s="585" t="inlineStr">
        <is>
          <t xml:space="preserve">Active </t>
        </is>
      </c>
      <c r="J22" s="591" t="n"/>
      <c r="K22" s="591" t="n"/>
      <c r="L22" s="591" t="n"/>
      <c r="M22" s="591" t="n"/>
      <c r="N22" s="591" t="n"/>
      <c r="O22" s="591" t="n"/>
      <c r="P22" s="591" t="n"/>
      <c r="Q22" s="591" t="n"/>
      <c r="R22" s="591" t="n"/>
      <c r="S22" s="591" t="n"/>
      <c r="T22" s="591" t="n"/>
      <c r="U22" s="591" t="n"/>
      <c r="V22" s="591" t="n"/>
      <c r="W22" s="591" t="n"/>
      <c r="X22" s="591" t="n"/>
      <c r="Y22" s="591" t="n"/>
      <c r="Z22" s="591" t="n"/>
      <c r="AA22" s="591" t="n"/>
      <c r="AB22" s="591" t="n"/>
      <c r="AC22" s="591" t="n"/>
      <c r="AD22" s="591" t="n"/>
      <c r="AE22" s="591" t="n"/>
      <c r="AF22" s="591" t="n"/>
      <c r="AG22" s="591" t="n"/>
    </row>
    <row r="23" ht="18" customHeight="1" s="562">
      <c r="A23" s="585" t="inlineStr">
        <is>
          <t>Maria</t>
        </is>
      </c>
      <c r="B23" s="585" t="inlineStr">
        <is>
          <t xml:space="preserve">Yvonne Anne Burgum </t>
        </is>
      </c>
      <c r="C23" s="601" t="n">
        <v>750</v>
      </c>
      <c r="D23" s="604" t="inlineStr">
        <is>
          <t xml:space="preserve">Weekly </t>
        </is>
      </c>
      <c r="E23" s="585" t="inlineStr">
        <is>
          <t xml:space="preserve">Day Shift </t>
        </is>
      </c>
      <c r="F23" s="585" t="inlineStr">
        <is>
          <t>Mon, Wed, Fri</t>
        </is>
      </c>
      <c r="G23" s="585" t="inlineStr">
        <is>
          <t>TCH</t>
        </is>
      </c>
      <c r="H23" s="601" t="n"/>
      <c r="I23" s="585" t="inlineStr">
        <is>
          <t xml:space="preserve">Active </t>
        </is>
      </c>
      <c r="J23" s="591" t="n"/>
      <c r="K23" s="591" t="n"/>
      <c r="L23" s="591" t="n"/>
      <c r="M23" s="591" t="n"/>
      <c r="N23" s="591" t="n"/>
      <c r="O23" s="591" t="n"/>
      <c r="P23" s="591" t="n"/>
      <c r="Q23" s="591" t="n"/>
      <c r="R23" s="591" t="n"/>
      <c r="S23" s="591" t="n"/>
      <c r="T23" s="591" t="n"/>
      <c r="U23" s="591" t="n"/>
      <c r="V23" s="591" t="n"/>
      <c r="W23" s="591" t="n"/>
      <c r="X23" s="591" t="n"/>
      <c r="Y23" s="591" t="n"/>
      <c r="Z23" s="591" t="n"/>
      <c r="AA23" s="591" t="n"/>
      <c r="AB23" s="591" t="n"/>
      <c r="AC23" s="591" t="n"/>
      <c r="AD23" s="591" t="n"/>
      <c r="AE23" s="591" t="n"/>
      <c r="AF23" s="591" t="n"/>
      <c r="AG23" s="591" t="n"/>
    </row>
    <row r="24" ht="18" customHeight="1" s="562">
      <c r="A24" s="585" t="inlineStr">
        <is>
          <t>Ruth Place</t>
        </is>
      </c>
      <c r="B24" s="585" t="inlineStr">
        <is>
          <t>Dr Jean Meredith Place</t>
        </is>
      </c>
      <c r="C24" s="601" t="n">
        <v>800</v>
      </c>
      <c r="D24" s="585" t="inlineStr">
        <is>
          <t xml:space="preserve">As and when </t>
        </is>
      </c>
      <c r="E24" s="585" t="inlineStr">
        <is>
          <t xml:space="preserve">Day Shift </t>
        </is>
      </c>
      <c r="F24" s="585" t="n"/>
      <c r="G24" s="585" t="inlineStr">
        <is>
          <t>TCH</t>
        </is>
      </c>
      <c r="H24" s="601" t="n"/>
      <c r="I24" s="585" t="inlineStr">
        <is>
          <t xml:space="preserve">Active </t>
        </is>
      </c>
      <c r="J24" s="591" t="n"/>
      <c r="K24" s="591" t="n"/>
      <c r="L24" s="591" t="n"/>
      <c r="M24" s="591" t="n"/>
      <c r="N24" s="591" t="n"/>
      <c r="O24" s="591" t="n"/>
      <c r="P24" s="591" t="n"/>
      <c r="Q24" s="591" t="n"/>
      <c r="R24" s="591" t="n"/>
      <c r="S24" s="591" t="n"/>
      <c r="T24" s="591" t="n"/>
      <c r="U24" s="591" t="n"/>
      <c r="V24" s="591" t="n"/>
      <c r="W24" s="591" t="n"/>
      <c r="X24" s="591" t="n"/>
      <c r="Y24" s="591" t="n"/>
      <c r="Z24" s="591" t="n"/>
      <c r="AA24" s="591" t="n"/>
      <c r="AB24" s="591" t="n"/>
      <c r="AC24" s="591" t="n"/>
      <c r="AD24" s="591" t="n"/>
      <c r="AE24" s="591" t="n"/>
      <c r="AF24" s="591" t="n"/>
      <c r="AG24" s="591" t="n"/>
    </row>
    <row r="25" ht="18" customFormat="1" customHeight="1" s="605">
      <c r="A25" s="606" t="inlineStr">
        <is>
          <t xml:space="preserve">Roux </t>
        </is>
      </c>
      <c r="B25" s="606" t="inlineStr">
        <is>
          <t xml:space="preserve">Esme Kluckow </t>
        </is>
      </c>
      <c r="C25" s="607" t="n">
        <v>750</v>
      </c>
      <c r="D25" s="606" t="inlineStr">
        <is>
          <t xml:space="preserve">Monthly </t>
        </is>
      </c>
      <c r="E25" s="606" t="inlineStr">
        <is>
          <t xml:space="preserve">Day Shift </t>
        </is>
      </c>
      <c r="F25" s="606" t="inlineStr">
        <is>
          <t>Mon- Wed &amp; Fri</t>
        </is>
      </c>
      <c r="G25" s="606" t="inlineStr">
        <is>
          <t>TCH</t>
        </is>
      </c>
      <c r="H25" s="607" t="n"/>
      <c r="I25" s="606" t="inlineStr">
        <is>
          <t xml:space="preserve">Passed Away </t>
        </is>
      </c>
      <c r="J25" s="591" t="n"/>
      <c r="K25" s="591" t="n"/>
      <c r="L25" s="591" t="n"/>
      <c r="M25" s="591" t="n"/>
      <c r="N25" s="591" t="n"/>
      <c r="O25" s="591" t="n"/>
      <c r="P25" s="591" t="n"/>
      <c r="Q25" s="591" t="n"/>
      <c r="R25" s="591" t="n"/>
      <c r="S25" s="591" t="n"/>
      <c r="T25" s="591" t="n"/>
      <c r="U25" s="591" t="n"/>
      <c r="V25" s="591" t="n"/>
      <c r="W25" s="591" t="n"/>
      <c r="X25" s="591" t="n"/>
      <c r="Y25" s="591" t="n"/>
      <c r="Z25" s="591" t="n"/>
      <c r="AA25" s="591" t="n"/>
      <c r="AB25" s="591" t="n"/>
      <c r="AC25" s="591" t="n"/>
      <c r="AD25" s="591" t="n"/>
      <c r="AE25" s="591" t="n"/>
      <c r="AF25" s="591" t="n"/>
      <c r="AG25" s="591" t="n"/>
    </row>
    <row r="26" ht="18" customHeight="1" s="562">
      <c r="A26" s="585" t="inlineStr">
        <is>
          <t xml:space="preserve">Carolina Richards </t>
        </is>
      </c>
      <c r="B26" s="585" t="inlineStr">
        <is>
          <t>Dawn Vivian Boyer de la Giroday</t>
        </is>
      </c>
      <c r="C26" s="601" t="n">
        <v>750</v>
      </c>
      <c r="D26" s="585" t="inlineStr">
        <is>
          <t xml:space="preserve">Monthly </t>
        </is>
      </c>
      <c r="E26" s="585" t="inlineStr">
        <is>
          <t xml:space="preserve">Day Shift </t>
        </is>
      </c>
      <c r="F26" s="585" t="inlineStr">
        <is>
          <t>Mon- Sun</t>
        </is>
      </c>
      <c r="G26" s="585" t="inlineStr">
        <is>
          <t>TCH</t>
        </is>
      </c>
      <c r="H26" s="601" t="n"/>
      <c r="I26" s="585" t="inlineStr">
        <is>
          <t xml:space="preserve">Active </t>
        </is>
      </c>
      <c r="J26" s="591" t="n"/>
      <c r="K26" s="591" t="n"/>
      <c r="L26" s="591" t="n"/>
      <c r="M26" s="591" t="n"/>
      <c r="N26" s="591" t="n"/>
      <c r="O26" s="591" t="n"/>
      <c r="P26" s="591" t="n"/>
      <c r="Q26" s="591" t="n"/>
      <c r="R26" s="591" t="n"/>
      <c r="S26" s="591" t="n"/>
      <c r="T26" s="591" t="n"/>
      <c r="U26" s="591" t="n"/>
      <c r="V26" s="591" t="n"/>
      <c r="W26" s="591" t="n"/>
      <c r="X26" s="591" t="n"/>
      <c r="Y26" s="591" t="n"/>
      <c r="Z26" s="591" t="n"/>
      <c r="AA26" s="591" t="n"/>
      <c r="AB26" s="591" t="n"/>
      <c r="AC26" s="591" t="n"/>
      <c r="AD26" s="591" t="n"/>
      <c r="AE26" s="591" t="n"/>
      <c r="AF26" s="591" t="n"/>
      <c r="AG26" s="591" t="n"/>
    </row>
    <row r="27" ht="18" customHeight="1" s="562">
      <c r="A27" s="585" t="inlineStr">
        <is>
          <t>Webb</t>
        </is>
      </c>
      <c r="B27" s="585" t="inlineStr">
        <is>
          <t xml:space="preserve">Sonja Sarantis </t>
        </is>
      </c>
      <c r="C27" s="601" t="n">
        <v>750</v>
      </c>
      <c r="D27" s="604" t="inlineStr">
        <is>
          <t xml:space="preserve">Weekly </t>
        </is>
      </c>
      <c r="E27" s="585" t="inlineStr">
        <is>
          <t xml:space="preserve">Day Shift </t>
        </is>
      </c>
      <c r="F27" s="585" t="inlineStr">
        <is>
          <t>Every Friday</t>
        </is>
      </c>
      <c r="G27" s="585" t="inlineStr">
        <is>
          <t>TCH</t>
        </is>
      </c>
      <c r="H27" s="601" t="n"/>
      <c r="I27" s="585" t="inlineStr">
        <is>
          <t xml:space="preserve">Active </t>
        </is>
      </c>
      <c r="J27" s="591" t="n"/>
      <c r="K27" s="591" t="n"/>
      <c r="L27" s="591" t="n"/>
      <c r="M27" s="591" t="n"/>
      <c r="N27" s="591" t="n"/>
      <c r="O27" s="591" t="n"/>
      <c r="P27" s="591" t="n"/>
      <c r="Q27" s="591" t="n"/>
      <c r="R27" s="591" t="n"/>
      <c r="S27" s="591" t="n"/>
      <c r="T27" s="591" t="n"/>
      <c r="U27" s="591" t="n"/>
      <c r="V27" s="591" t="n"/>
      <c r="W27" s="591" t="n"/>
      <c r="X27" s="591" t="n"/>
      <c r="Y27" s="591" t="n"/>
      <c r="Z27" s="591" t="n"/>
      <c r="AA27" s="591" t="n"/>
      <c r="AB27" s="591" t="n"/>
      <c r="AC27" s="591" t="n"/>
      <c r="AD27" s="591" t="n"/>
      <c r="AE27" s="591" t="n"/>
      <c r="AF27" s="591" t="n"/>
      <c r="AG27" s="591" t="n"/>
    </row>
    <row r="28" ht="18" customHeight="1" s="562">
      <c r="A28" s="585" t="inlineStr">
        <is>
          <t>Hardy</t>
        </is>
      </c>
      <c r="B28" s="585" t="n"/>
      <c r="C28" s="601" t="n">
        <v>750</v>
      </c>
      <c r="D28" s="585" t="n"/>
      <c r="E28" s="585" t="n"/>
      <c r="F28" s="585" t="n"/>
      <c r="G28" s="585" t="n"/>
      <c r="H28" s="601" t="n"/>
      <c r="I28" s="585" t="n"/>
      <c r="J28" s="591" t="n"/>
      <c r="K28" s="591" t="n"/>
      <c r="L28" s="591" t="n"/>
      <c r="M28" s="591" t="n"/>
      <c r="N28" s="591" t="n"/>
      <c r="O28" s="591" t="n"/>
      <c r="P28" s="591" t="n"/>
      <c r="Q28" s="591" t="n"/>
      <c r="R28" s="591" t="n"/>
      <c r="S28" s="591" t="n"/>
      <c r="T28" s="591" t="n"/>
      <c r="U28" s="591" t="n"/>
      <c r="V28" s="591" t="n"/>
      <c r="W28" s="591" t="n"/>
      <c r="X28" s="591" t="n"/>
      <c r="Y28" s="591" t="n"/>
      <c r="Z28" s="591" t="n"/>
      <c r="AA28" s="591" t="n"/>
      <c r="AB28" s="591" t="n"/>
      <c r="AC28" s="591" t="n"/>
      <c r="AD28" s="591" t="n"/>
      <c r="AE28" s="591" t="n"/>
      <c r="AF28" s="591" t="n"/>
      <c r="AG28" s="591" t="n"/>
    </row>
    <row r="29" ht="18" customHeight="1" s="562">
      <c r="A29" s="585" t="inlineStr">
        <is>
          <t xml:space="preserve">Oosthuizen </t>
        </is>
      </c>
      <c r="B29" s="585" t="inlineStr">
        <is>
          <t>Hendrik Petrus Oosthuizen</t>
        </is>
      </c>
      <c r="C29" s="601" t="n">
        <v>750</v>
      </c>
      <c r="D29" s="604" t="inlineStr">
        <is>
          <t xml:space="preserve">Weekly </t>
        </is>
      </c>
      <c r="E29" s="585" t="inlineStr">
        <is>
          <t xml:space="preserve">Day Shift </t>
        </is>
      </c>
      <c r="F29" s="585" t="inlineStr">
        <is>
          <t>Mon- Fri</t>
        </is>
      </c>
      <c r="G29" s="585" t="inlineStr">
        <is>
          <t>TCH</t>
        </is>
      </c>
      <c r="H29" s="601" t="n"/>
      <c r="I29" s="585" t="inlineStr">
        <is>
          <t xml:space="preserve">Active </t>
        </is>
      </c>
      <c r="J29" s="591" t="n"/>
      <c r="K29" s="591" t="n"/>
      <c r="L29" s="591" t="n"/>
      <c r="M29" s="591" t="n"/>
      <c r="N29" s="591" t="n"/>
      <c r="O29" s="591" t="n"/>
      <c r="P29" s="591" t="n"/>
      <c r="Q29" s="591" t="n"/>
      <c r="R29" s="591" t="n"/>
      <c r="S29" s="591" t="n"/>
      <c r="T29" s="591" t="n"/>
      <c r="U29" s="591" t="n"/>
      <c r="V29" s="591" t="n"/>
      <c r="W29" s="591" t="n"/>
      <c r="X29" s="591" t="n"/>
      <c r="Y29" s="591" t="n"/>
      <c r="Z29" s="591" t="n"/>
      <c r="AA29" s="591" t="n"/>
      <c r="AB29" s="591" t="n"/>
      <c r="AC29" s="591" t="n"/>
      <c r="AD29" s="591" t="n"/>
      <c r="AE29" s="591" t="n"/>
      <c r="AF29" s="591" t="n"/>
      <c r="AG29" s="591" t="n"/>
    </row>
    <row r="30" ht="18" customHeight="1" s="562">
      <c r="A30" s="585" t="inlineStr">
        <is>
          <t xml:space="preserve">O'Neill </t>
        </is>
      </c>
      <c r="B30" s="585" t="inlineStr">
        <is>
          <t xml:space="preserve">Micheal O'Niel </t>
        </is>
      </c>
      <c r="C30" s="601" t="n">
        <v>850</v>
      </c>
      <c r="D30" s="585" t="inlineStr">
        <is>
          <t xml:space="preserve">Monthly </t>
        </is>
      </c>
      <c r="E30" s="585" t="inlineStr">
        <is>
          <t xml:space="preserve">Day Shift </t>
        </is>
      </c>
      <c r="F30" s="585" t="inlineStr">
        <is>
          <t>Mon-Sun</t>
        </is>
      </c>
      <c r="G30" s="585" t="inlineStr">
        <is>
          <t>TCH</t>
        </is>
      </c>
      <c r="H30" s="601" t="n"/>
      <c r="I30" s="585" t="inlineStr">
        <is>
          <t xml:space="preserve">Active </t>
        </is>
      </c>
      <c r="J30" s="591" t="n"/>
      <c r="K30" s="591" t="n"/>
      <c r="L30" s="591" t="n"/>
      <c r="M30" s="591" t="n"/>
      <c r="N30" s="591" t="n"/>
      <c r="O30" s="591" t="n"/>
      <c r="P30" s="591" t="n"/>
      <c r="Q30" s="591" t="n"/>
      <c r="R30" s="591" t="n"/>
      <c r="S30" s="591" t="n"/>
      <c r="T30" s="591" t="n"/>
      <c r="U30" s="591" t="n"/>
      <c r="V30" s="591" t="n"/>
      <c r="W30" s="591" t="n"/>
      <c r="X30" s="591" t="n"/>
      <c r="Y30" s="591" t="n"/>
      <c r="Z30" s="591" t="n"/>
      <c r="AA30" s="591" t="n"/>
      <c r="AB30" s="591" t="n"/>
      <c r="AC30" s="591" t="n"/>
      <c r="AD30" s="591" t="n"/>
      <c r="AE30" s="591" t="n"/>
      <c r="AF30" s="591" t="n"/>
      <c r="AG30" s="591" t="n"/>
    </row>
    <row r="31" ht="18" customHeight="1" s="562">
      <c r="A31" s="585" t="inlineStr">
        <is>
          <t xml:space="preserve">De Waal </t>
        </is>
      </c>
      <c r="B31" s="585" t="inlineStr">
        <is>
          <t>Erena Janse van Rensburg</t>
        </is>
      </c>
      <c r="C31" s="601" t="n">
        <v>950</v>
      </c>
      <c r="D31" s="604" t="inlineStr">
        <is>
          <t xml:space="preserve">Weekly </t>
        </is>
      </c>
      <c r="E31" s="585" t="inlineStr">
        <is>
          <t>Live-In</t>
        </is>
      </c>
      <c r="F31" s="585" t="inlineStr">
        <is>
          <t>Mon-Sun</t>
        </is>
      </c>
      <c r="G31" s="585" t="inlineStr">
        <is>
          <t>TCH</t>
        </is>
      </c>
      <c r="H31" s="601" t="n"/>
      <c r="I31" s="585" t="inlineStr">
        <is>
          <t xml:space="preserve">Active </t>
        </is>
      </c>
      <c r="J31" s="591" t="n"/>
      <c r="K31" s="591" t="n"/>
      <c r="L31" s="591" t="n"/>
      <c r="M31" s="591" t="n"/>
      <c r="N31" s="591" t="n"/>
      <c r="O31" s="591" t="n"/>
      <c r="P31" s="591" t="n"/>
      <c r="Q31" s="591" t="n"/>
      <c r="R31" s="591" t="n"/>
      <c r="S31" s="591" t="n"/>
      <c r="T31" s="591" t="n"/>
      <c r="U31" s="591" t="n"/>
      <c r="V31" s="591" t="n"/>
      <c r="W31" s="591" t="n"/>
      <c r="X31" s="591" t="n"/>
      <c r="Y31" s="591" t="n"/>
      <c r="Z31" s="591" t="n"/>
      <c r="AA31" s="591" t="n"/>
      <c r="AB31" s="591" t="n"/>
      <c r="AC31" s="591" t="n"/>
      <c r="AD31" s="591" t="n"/>
      <c r="AE31" s="591" t="n"/>
      <c r="AF31" s="591" t="n"/>
      <c r="AG31" s="591" t="n"/>
    </row>
    <row r="32" ht="18" customHeight="1" s="562">
      <c r="A32" s="585" t="inlineStr">
        <is>
          <t xml:space="preserve">Fisher </t>
        </is>
      </c>
      <c r="B32" s="585" t="inlineStr">
        <is>
          <t xml:space="preserve">Lynn Fisher </t>
        </is>
      </c>
      <c r="C32" s="601" t="inlineStr">
        <is>
          <t>N/A</t>
        </is>
      </c>
      <c r="D32" s="585" t="inlineStr">
        <is>
          <t xml:space="preserve">Monthly </t>
        </is>
      </c>
      <c r="E32" s="585" t="inlineStr">
        <is>
          <t xml:space="preserve">2 Days per month </t>
        </is>
      </c>
      <c r="F32" s="585" t="n"/>
      <c r="G32" s="585" t="inlineStr">
        <is>
          <t>TCH</t>
        </is>
      </c>
      <c r="H32" s="601" t="n">
        <v>5500</v>
      </c>
      <c r="I32" s="585" t="inlineStr">
        <is>
          <t xml:space="preserve">Active </t>
        </is>
      </c>
      <c r="J32" s="591" t="n"/>
      <c r="K32" s="591" t="n"/>
      <c r="L32" s="591" t="n"/>
      <c r="M32" s="591" t="n"/>
      <c r="N32" s="591" t="n"/>
      <c r="O32" s="591" t="n"/>
      <c r="P32" s="591" t="n"/>
      <c r="Q32" s="591" t="n"/>
      <c r="R32" s="591" t="n"/>
      <c r="S32" s="591" t="n"/>
      <c r="T32" s="591" t="n"/>
      <c r="U32" s="591" t="n"/>
      <c r="V32" s="591" t="n"/>
      <c r="W32" s="591" t="n"/>
      <c r="X32" s="591" t="n"/>
      <c r="Y32" s="591" t="n"/>
      <c r="Z32" s="591" t="n"/>
      <c r="AA32" s="591" t="n"/>
      <c r="AB32" s="591" t="n"/>
      <c r="AC32" s="591" t="n"/>
      <c r="AD32" s="591" t="n"/>
      <c r="AE32" s="591" t="n"/>
      <c r="AF32" s="591" t="n"/>
      <c r="AG32" s="591" t="n"/>
    </row>
    <row r="33" ht="18" customHeight="1" s="562">
      <c r="A33" s="585" t="inlineStr">
        <is>
          <t>Nicolaas Alberts</t>
        </is>
      </c>
      <c r="B33" s="585" t="inlineStr">
        <is>
          <t>Nicolaas Alberts</t>
        </is>
      </c>
      <c r="C33" s="601" t="n">
        <v>950</v>
      </c>
      <c r="D33" s="585" t="inlineStr">
        <is>
          <t xml:space="preserve">As and when </t>
        </is>
      </c>
      <c r="E33" s="585" t="n"/>
      <c r="F33" s="585" t="n"/>
      <c r="G33" s="585" t="inlineStr">
        <is>
          <t>TCH</t>
        </is>
      </c>
      <c r="H33" s="601" t="n"/>
      <c r="I33" s="585" t="n"/>
      <c r="J33" s="591" t="n"/>
      <c r="K33" s="591" t="n"/>
      <c r="L33" s="591" t="n"/>
      <c r="M33" s="591" t="n"/>
      <c r="N33" s="591" t="n"/>
      <c r="O33" s="591" t="n"/>
      <c r="P33" s="591" t="n"/>
      <c r="Q33" s="591" t="n"/>
      <c r="R33" s="591" t="n"/>
      <c r="S33" s="591" t="n"/>
      <c r="T33" s="591" t="n"/>
      <c r="U33" s="591" t="n"/>
      <c r="V33" s="591" t="n"/>
      <c r="W33" s="591" t="n"/>
      <c r="X33" s="591" t="n"/>
      <c r="Y33" s="591" t="n"/>
      <c r="Z33" s="591" t="n"/>
      <c r="AA33" s="591" t="n"/>
      <c r="AB33" s="591" t="n"/>
      <c r="AC33" s="591" t="n"/>
      <c r="AD33" s="591" t="n"/>
      <c r="AE33" s="591" t="n"/>
      <c r="AF33" s="591" t="n"/>
      <c r="AG33" s="591" t="n"/>
    </row>
    <row r="34" ht="18" customHeight="1" s="562">
      <c r="A34" s="585" t="inlineStr">
        <is>
          <t xml:space="preserve">Carli Peens </t>
        </is>
      </c>
      <c r="B34" s="585" t="inlineStr">
        <is>
          <t xml:space="preserve">Hendrik Peens </t>
        </is>
      </c>
      <c r="C34" s="601" t="n">
        <v>1500</v>
      </c>
      <c r="D34" s="604" t="inlineStr">
        <is>
          <t xml:space="preserve">Weekly </t>
        </is>
      </c>
      <c r="E34" s="585" t="inlineStr">
        <is>
          <t>24 Hours</t>
        </is>
      </c>
      <c r="F34" s="585" t="inlineStr">
        <is>
          <t>Mon- Sun</t>
        </is>
      </c>
      <c r="G34" s="585" t="inlineStr">
        <is>
          <t>TCH</t>
        </is>
      </c>
      <c r="H34" s="601" t="n"/>
      <c r="I34" s="585" t="inlineStr">
        <is>
          <t xml:space="preserve">Active </t>
        </is>
      </c>
      <c r="J34" s="591" t="n"/>
      <c r="K34" s="591" t="n"/>
      <c r="L34" s="591" t="n"/>
      <c r="M34" s="591" t="n"/>
      <c r="N34" s="591" t="n"/>
      <c r="O34" s="591" t="n"/>
      <c r="P34" s="591" t="n"/>
      <c r="Q34" s="591" t="n"/>
      <c r="R34" s="591" t="n"/>
      <c r="S34" s="591" t="n"/>
      <c r="T34" s="591" t="n"/>
      <c r="U34" s="591" t="n"/>
      <c r="V34" s="591" t="n"/>
      <c r="W34" s="591" t="n"/>
      <c r="X34" s="591" t="n"/>
      <c r="Y34" s="591" t="n"/>
      <c r="Z34" s="591" t="n"/>
      <c r="AA34" s="591" t="n"/>
      <c r="AB34" s="591" t="n"/>
      <c r="AC34" s="591" t="n"/>
      <c r="AD34" s="591" t="n"/>
      <c r="AE34" s="591" t="n"/>
      <c r="AF34" s="591" t="n"/>
      <c r="AG34" s="591" t="n"/>
    </row>
    <row r="35" ht="18" customHeight="1" s="562">
      <c r="A35" s="585" t="inlineStr">
        <is>
          <t>Ingham</t>
        </is>
      </c>
      <c r="B35" s="585" t="inlineStr">
        <is>
          <t>Kenneth Ingham</t>
        </is>
      </c>
      <c r="C35" s="608" t="inlineStr">
        <is>
          <t>Night - R950 Day- R800</t>
        </is>
      </c>
      <c r="D35" s="585" t="inlineStr">
        <is>
          <t xml:space="preserve">Daily </t>
        </is>
      </c>
      <c r="E35" s="585" t="inlineStr">
        <is>
          <t>24 Hours</t>
        </is>
      </c>
      <c r="F35" s="585" t="inlineStr">
        <is>
          <t>Mon- Sun</t>
        </is>
      </c>
      <c r="G35" s="585" t="inlineStr">
        <is>
          <t>TCH</t>
        </is>
      </c>
      <c r="H35" s="601" t="n"/>
      <c r="I35" s="585" t="inlineStr">
        <is>
          <t xml:space="preserve">Active </t>
        </is>
      </c>
      <c r="J35" s="591" t="n"/>
      <c r="K35" s="591" t="n"/>
      <c r="L35" s="591" t="n"/>
      <c r="M35" s="591" t="n"/>
      <c r="N35" s="591" t="n"/>
      <c r="O35" s="591" t="n"/>
      <c r="P35" s="591" t="n"/>
      <c r="Q35" s="591" t="n"/>
      <c r="R35" s="591" t="n"/>
      <c r="S35" s="591" t="n"/>
      <c r="T35" s="591" t="n"/>
      <c r="U35" s="591" t="n"/>
      <c r="V35" s="591" t="n"/>
      <c r="W35" s="591" t="n"/>
      <c r="X35" s="591" t="n"/>
      <c r="Y35" s="591" t="n"/>
      <c r="Z35" s="591" t="n"/>
      <c r="AA35" s="591" t="n"/>
      <c r="AB35" s="591" t="n"/>
      <c r="AC35" s="591" t="n"/>
      <c r="AD35" s="591" t="n"/>
      <c r="AE35" s="591" t="n"/>
      <c r="AF35" s="591" t="n"/>
      <c r="AG35" s="591" t="n"/>
    </row>
    <row r="36" ht="18" customHeight="1" s="562">
      <c r="A36" s="585" t="inlineStr">
        <is>
          <t xml:space="preserve">Anna-Marie </t>
        </is>
      </c>
      <c r="B36" s="585" t="inlineStr">
        <is>
          <t>Helene Griffiths</t>
        </is>
      </c>
      <c r="C36" s="601" t="inlineStr">
        <is>
          <t>Live in - R950</t>
        </is>
      </c>
      <c r="D36" s="585" t="inlineStr">
        <is>
          <t xml:space="preserve">As and when </t>
        </is>
      </c>
      <c r="E36" s="585" t="inlineStr">
        <is>
          <t>Live-In</t>
        </is>
      </c>
      <c r="F36" s="585" t="n"/>
      <c r="G36" s="585" t="inlineStr">
        <is>
          <t>TCH</t>
        </is>
      </c>
      <c r="H36" s="601" t="n"/>
      <c r="I36" s="585" t="inlineStr">
        <is>
          <t xml:space="preserve">Active </t>
        </is>
      </c>
      <c r="J36" s="591" t="n"/>
      <c r="K36" s="591" t="n"/>
      <c r="L36" s="591" t="n"/>
      <c r="M36" s="591" t="n"/>
      <c r="N36" s="591" t="n"/>
      <c r="O36" s="591" t="n"/>
      <c r="P36" s="591" t="n"/>
      <c r="Q36" s="591" t="n"/>
      <c r="R36" s="591" t="n"/>
      <c r="S36" s="591" t="n"/>
      <c r="T36" s="591" t="n"/>
      <c r="U36" s="591" t="n"/>
      <c r="V36" s="591" t="n"/>
      <c r="W36" s="591" t="n"/>
      <c r="X36" s="591" t="n"/>
      <c r="Y36" s="591" t="n"/>
      <c r="Z36" s="591" t="n"/>
      <c r="AA36" s="591" t="n"/>
      <c r="AB36" s="591" t="n"/>
      <c r="AC36" s="591" t="n"/>
      <c r="AD36" s="591" t="n"/>
      <c r="AE36" s="591" t="n"/>
      <c r="AF36" s="591" t="n"/>
      <c r="AG36" s="591" t="n"/>
    </row>
    <row r="37" ht="18" customHeight="1" s="562">
      <c r="A37" s="585" t="inlineStr">
        <is>
          <t>Emce Bruinette</t>
        </is>
      </c>
      <c r="B37" s="585" t="inlineStr">
        <is>
          <t xml:space="preserve">Anton Styen </t>
        </is>
      </c>
      <c r="C37" s="601" t="inlineStr">
        <is>
          <t>Live in - R950</t>
        </is>
      </c>
      <c r="D37" s="585" t="inlineStr">
        <is>
          <t xml:space="preserve">As and when </t>
        </is>
      </c>
      <c r="E37" s="585" t="n"/>
      <c r="F37" s="585" t="n"/>
      <c r="G37" s="585" t="inlineStr">
        <is>
          <t>TCH</t>
        </is>
      </c>
      <c r="H37" s="601" t="n"/>
      <c r="I37" s="585" t="inlineStr">
        <is>
          <t xml:space="preserve">Active </t>
        </is>
      </c>
      <c r="J37" s="591" t="n"/>
      <c r="K37" s="591" t="n"/>
      <c r="L37" s="591" t="n"/>
      <c r="M37" s="591" t="n"/>
      <c r="N37" s="591" t="n"/>
      <c r="O37" s="591" t="n"/>
      <c r="P37" s="591" t="n"/>
      <c r="Q37" s="591" t="n"/>
      <c r="R37" s="591" t="n"/>
      <c r="S37" s="591" t="n"/>
      <c r="T37" s="591" t="n"/>
      <c r="U37" s="591" t="n"/>
      <c r="V37" s="591" t="n"/>
      <c r="W37" s="591" t="n"/>
      <c r="X37" s="591" t="n"/>
      <c r="Y37" s="591" t="n"/>
      <c r="Z37" s="591" t="n"/>
      <c r="AA37" s="591" t="n"/>
      <c r="AB37" s="591" t="n"/>
      <c r="AC37" s="591" t="n"/>
      <c r="AD37" s="591" t="n"/>
      <c r="AE37" s="591" t="n"/>
      <c r="AF37" s="591" t="n"/>
      <c r="AG37" s="591" t="n"/>
    </row>
    <row r="38" ht="18" customHeight="1" s="562">
      <c r="A38" s="585" t="n"/>
      <c r="B38" s="585" t="n"/>
      <c r="C38" s="601" t="n"/>
      <c r="D38" s="585" t="n"/>
      <c r="E38" s="585" t="n"/>
      <c r="F38" s="585" t="n"/>
      <c r="G38" s="585" t="n"/>
      <c r="H38" s="601" t="n"/>
      <c r="I38" s="585" t="n"/>
      <c r="J38" s="591" t="n"/>
      <c r="K38" s="591" t="n"/>
      <c r="L38" s="591" t="n"/>
      <c r="M38" s="591" t="n"/>
      <c r="N38" s="591" t="n"/>
      <c r="O38" s="591" t="n"/>
      <c r="P38" s="591" t="n"/>
      <c r="Q38" s="591" t="n"/>
      <c r="R38" s="591" t="n"/>
      <c r="S38" s="591" t="n"/>
      <c r="T38" s="591" t="n"/>
      <c r="U38" s="591" t="n"/>
      <c r="V38" s="591" t="n"/>
      <c r="W38" s="591" t="n"/>
      <c r="X38" s="591" t="n"/>
      <c r="Y38" s="591" t="n"/>
      <c r="Z38" s="591" t="n"/>
      <c r="AA38" s="591" t="n"/>
      <c r="AB38" s="591" t="n"/>
      <c r="AC38" s="591" t="n"/>
      <c r="AD38" s="591" t="n"/>
      <c r="AE38" s="591" t="n"/>
      <c r="AF38" s="591" t="n"/>
      <c r="AG38" s="591" t="n"/>
    </row>
    <row r="39" ht="18" customHeight="1" s="562">
      <c r="A39" s="585" t="n"/>
      <c r="B39" s="585" t="n"/>
      <c r="C39" s="601" t="n"/>
      <c r="D39" s="585" t="n"/>
      <c r="E39" s="585" t="n"/>
      <c r="F39" s="585" t="n"/>
      <c r="G39" s="585" t="n"/>
      <c r="H39" s="601" t="n"/>
      <c r="I39" s="585" t="n"/>
      <c r="J39" s="591" t="n"/>
      <c r="K39" s="591" t="n"/>
      <c r="L39" s="591" t="n"/>
      <c r="M39" s="591" t="n"/>
      <c r="N39" s="591" t="n"/>
      <c r="O39" s="591" t="n"/>
      <c r="P39" s="591" t="n"/>
      <c r="Q39" s="591" t="n"/>
      <c r="R39" s="591" t="n"/>
      <c r="S39" s="591" t="n"/>
      <c r="T39" s="591" t="n"/>
      <c r="U39" s="591" t="n"/>
      <c r="V39" s="591" t="n"/>
      <c r="W39" s="591" t="n"/>
      <c r="X39" s="591" t="n"/>
      <c r="Y39" s="591" t="n"/>
      <c r="Z39" s="591" t="n"/>
      <c r="AA39" s="591" t="n"/>
      <c r="AB39" s="591" t="n"/>
      <c r="AC39" s="591" t="n"/>
      <c r="AD39" s="591" t="n"/>
      <c r="AE39" s="591" t="n"/>
      <c r="AF39" s="591" t="n"/>
      <c r="AG39" s="591" t="n"/>
    </row>
    <row r="40" ht="18" customHeight="1" s="562">
      <c r="A40" s="591" t="n"/>
      <c r="B40" s="591" t="n"/>
      <c r="C40" s="609" t="n"/>
      <c r="D40" s="591" t="n"/>
      <c r="E40" s="591" t="n"/>
      <c r="F40" s="591" t="n"/>
      <c r="G40" s="591" t="n"/>
      <c r="H40" s="609" t="n"/>
      <c r="I40" s="591" t="n"/>
      <c r="J40" s="591" t="n"/>
      <c r="K40" s="591" t="n"/>
      <c r="L40" s="591" t="n"/>
      <c r="M40" s="591" t="n"/>
      <c r="N40" s="591" t="n"/>
      <c r="O40" s="591" t="n"/>
      <c r="P40" s="591" t="n"/>
      <c r="Q40" s="591" t="n"/>
      <c r="R40" s="591" t="n"/>
      <c r="S40" s="591" t="n"/>
      <c r="T40" s="591" t="n"/>
      <c r="U40" s="591" t="n"/>
      <c r="V40" s="591" t="n"/>
      <c r="W40" s="591" t="n"/>
      <c r="X40" s="591" t="n"/>
      <c r="Y40" s="591" t="n"/>
      <c r="Z40" s="591" t="n"/>
      <c r="AA40" s="591" t="n"/>
      <c r="AB40" s="591" t="n"/>
      <c r="AC40" s="591" t="n"/>
      <c r="AD40" s="591" t="n"/>
      <c r="AE40" s="591" t="n"/>
      <c r="AF40" s="591" t="n"/>
      <c r="AG40" s="591" t="n"/>
    </row>
    <row r="41" ht="18" customHeight="1" s="562">
      <c r="A41" s="591" t="n"/>
      <c r="B41" s="591" t="n"/>
      <c r="C41" s="609" t="n"/>
      <c r="D41" s="591" t="n"/>
      <c r="E41" s="591" t="n"/>
      <c r="F41" s="591" t="n"/>
      <c r="G41" s="591" t="n"/>
      <c r="H41" s="609" t="n"/>
      <c r="I41" s="591" t="n"/>
      <c r="J41" s="591" t="n"/>
      <c r="K41" s="591" t="n"/>
      <c r="L41" s="591" t="n"/>
      <c r="M41" s="591" t="n"/>
      <c r="N41" s="591" t="n"/>
      <c r="O41" s="591" t="n"/>
      <c r="P41" s="591" t="n"/>
      <c r="Q41" s="591" t="n"/>
      <c r="R41" s="591" t="n"/>
      <c r="S41" s="591" t="n"/>
      <c r="T41" s="591" t="n"/>
      <c r="U41" s="591" t="n"/>
      <c r="V41" s="591" t="n"/>
      <c r="W41" s="591" t="n"/>
      <c r="X41" s="591" t="n"/>
      <c r="Y41" s="591" t="n"/>
      <c r="Z41" s="591" t="n"/>
      <c r="AA41" s="591" t="n"/>
      <c r="AB41" s="591" t="n"/>
      <c r="AC41" s="591" t="n"/>
      <c r="AD41" s="591" t="n"/>
      <c r="AE41" s="591" t="n"/>
      <c r="AF41" s="591" t="n"/>
      <c r="AG41" s="591" t="n"/>
    </row>
    <row r="42" ht="18" customHeight="1" s="562">
      <c r="A42" s="591" t="n"/>
      <c r="B42" s="591" t="n"/>
      <c r="C42" s="609" t="n"/>
      <c r="D42" s="591" t="n"/>
      <c r="E42" s="591" t="n"/>
      <c r="F42" s="591" t="n"/>
      <c r="G42" s="591" t="n"/>
      <c r="H42" s="609" t="n"/>
      <c r="I42" s="591" t="n"/>
      <c r="J42" s="591" t="n"/>
      <c r="K42" s="591" t="n"/>
      <c r="L42" s="591" t="n"/>
      <c r="M42" s="591" t="n"/>
      <c r="N42" s="591" t="n"/>
      <c r="O42" s="591" t="n"/>
      <c r="P42" s="591" t="n"/>
      <c r="Q42" s="591" t="n"/>
      <c r="R42" s="591" t="n"/>
      <c r="S42" s="591" t="n"/>
      <c r="T42" s="591" t="n"/>
      <c r="U42" s="591" t="n"/>
      <c r="V42" s="591" t="n"/>
      <c r="W42" s="591" t="n"/>
      <c r="X42" s="591" t="n"/>
      <c r="Y42" s="591" t="n"/>
      <c r="Z42" s="591" t="n"/>
      <c r="AA42" s="591" t="n"/>
      <c r="AB42" s="591" t="n"/>
      <c r="AC42" s="591" t="n"/>
      <c r="AD42" s="591" t="n"/>
      <c r="AE42" s="591" t="n"/>
      <c r="AF42" s="591" t="n"/>
      <c r="AG42" s="591" t="n"/>
    </row>
    <row r="43" ht="18" customHeight="1" s="562">
      <c r="A43" s="591" t="n"/>
      <c r="B43" s="591" t="n"/>
      <c r="C43" s="609" t="n"/>
      <c r="D43" s="591" t="n"/>
      <c r="E43" s="591" t="n"/>
      <c r="F43" s="591" t="n"/>
      <c r="G43" s="591" t="n"/>
      <c r="H43" s="609" t="n"/>
      <c r="I43" s="591" t="n"/>
      <c r="J43" s="591" t="n"/>
      <c r="K43" s="591" t="n"/>
      <c r="L43" s="591" t="n"/>
      <c r="M43" s="591" t="n"/>
      <c r="N43" s="591" t="n"/>
      <c r="O43" s="591" t="n"/>
      <c r="P43" s="591" t="n"/>
      <c r="Q43" s="591" t="n"/>
      <c r="R43" s="591" t="n"/>
      <c r="S43" s="591" t="n"/>
      <c r="T43" s="591" t="n"/>
      <c r="U43" s="591" t="n"/>
      <c r="V43" s="591" t="n"/>
      <c r="W43" s="591" t="n"/>
      <c r="X43" s="591" t="n"/>
      <c r="Y43" s="591" t="n"/>
      <c r="Z43" s="591" t="n"/>
      <c r="AA43" s="591" t="n"/>
      <c r="AB43" s="591" t="n"/>
      <c r="AC43" s="591" t="n"/>
      <c r="AD43" s="591" t="n"/>
      <c r="AE43" s="591" t="n"/>
      <c r="AF43" s="591" t="n"/>
      <c r="AG43" s="591" t="n"/>
    </row>
    <row r="44" ht="18" customHeight="1" s="562">
      <c r="A44" s="591" t="n"/>
      <c r="B44" s="591" t="n"/>
      <c r="C44" s="609" t="n"/>
      <c r="D44" s="591" t="n"/>
      <c r="E44" s="591" t="n"/>
      <c r="F44" s="591" t="n"/>
      <c r="G44" s="591" t="n"/>
      <c r="H44" s="609" t="n"/>
      <c r="I44" s="591" t="n"/>
      <c r="J44" s="591" t="n"/>
      <c r="K44" s="591" t="n"/>
      <c r="L44" s="591" t="n"/>
      <c r="M44" s="591" t="n"/>
      <c r="N44" s="591" t="n"/>
      <c r="O44" s="591" t="n"/>
      <c r="P44" s="591" t="n"/>
      <c r="Q44" s="591" t="n"/>
      <c r="R44" s="591" t="n"/>
      <c r="S44" s="591" t="n"/>
      <c r="T44" s="591" t="n"/>
      <c r="U44" s="591" t="n"/>
      <c r="V44" s="591" t="n"/>
      <c r="W44" s="591" t="n"/>
      <c r="X44" s="591" t="n"/>
      <c r="Y44" s="591" t="n"/>
      <c r="Z44" s="591" t="n"/>
      <c r="AA44" s="591" t="n"/>
      <c r="AB44" s="591" t="n"/>
      <c r="AC44" s="591" t="n"/>
      <c r="AD44" s="591" t="n"/>
      <c r="AE44" s="591" t="n"/>
      <c r="AF44" s="591" t="n"/>
      <c r="AG44" s="591" t="n"/>
    </row>
    <row r="45" ht="18" customHeight="1" s="562">
      <c r="A45" s="591" t="n"/>
      <c r="B45" s="591" t="n"/>
      <c r="C45" s="609" t="n"/>
      <c r="D45" s="591" t="n"/>
      <c r="E45" s="591" t="n"/>
      <c r="F45" s="591" t="n"/>
      <c r="G45" s="591" t="n"/>
      <c r="H45" s="609" t="n"/>
      <c r="I45" s="591" t="n"/>
      <c r="J45" s="591" t="n"/>
      <c r="K45" s="591" t="n"/>
      <c r="L45" s="591" t="n"/>
      <c r="M45" s="591" t="n"/>
      <c r="N45" s="591" t="n"/>
      <c r="O45" s="591" t="n"/>
      <c r="P45" s="591" t="n"/>
      <c r="Q45" s="591" t="n"/>
      <c r="R45" s="591" t="n"/>
      <c r="S45" s="591" t="n"/>
      <c r="T45" s="591" t="n"/>
      <c r="U45" s="591" t="n"/>
      <c r="V45" s="591" t="n"/>
      <c r="W45" s="591" t="n"/>
      <c r="X45" s="591" t="n"/>
      <c r="Y45" s="591" t="n"/>
      <c r="Z45" s="591" t="n"/>
      <c r="AA45" s="591" t="n"/>
      <c r="AB45" s="591" t="n"/>
      <c r="AC45" s="591" t="n"/>
      <c r="AD45" s="591" t="n"/>
      <c r="AE45" s="591" t="n"/>
      <c r="AF45" s="591" t="n"/>
      <c r="AG45" s="591" t="n"/>
    </row>
    <row r="46" ht="15.75" customHeight="1" s="562">
      <c r="A46" s="610" t="n"/>
      <c r="B46" s="610" t="n"/>
      <c r="C46" s="611" t="n"/>
      <c r="D46" s="610" t="n"/>
      <c r="E46" s="610" t="n"/>
      <c r="F46" s="610" t="n"/>
      <c r="G46" s="610" t="n"/>
      <c r="H46" s="611" t="n"/>
      <c r="I46" s="610" t="n"/>
      <c r="J46" s="610" t="n"/>
      <c r="K46" s="610" t="n"/>
      <c r="L46" s="610" t="n"/>
    </row>
    <row r="47" ht="15.75" customHeight="1" s="562">
      <c r="A47" s="610" t="n"/>
      <c r="B47" s="610" t="n"/>
      <c r="C47" s="611" t="n"/>
      <c r="D47" s="610" t="n"/>
      <c r="E47" s="610" t="n"/>
      <c r="F47" s="610" t="n"/>
      <c r="G47" s="610" t="n"/>
      <c r="H47" s="611" t="n"/>
      <c r="I47" s="610" t="n"/>
      <c r="J47" s="610" t="n"/>
      <c r="K47" s="610" t="n"/>
      <c r="L47" s="610" t="n"/>
    </row>
    <row r="48" ht="15.75" customHeight="1" s="562">
      <c r="A48" s="610" t="n"/>
      <c r="B48" s="610" t="n"/>
      <c r="C48" s="611" t="n"/>
      <c r="D48" s="610" t="n"/>
      <c r="E48" s="610" t="n"/>
      <c r="F48" s="610" t="n"/>
      <c r="G48" s="610" t="n"/>
      <c r="H48" s="611" t="n"/>
      <c r="I48" s="610" t="n"/>
      <c r="J48" s="610" t="n"/>
      <c r="K48" s="610" t="n"/>
      <c r="L48" s="610" t="n"/>
    </row>
    <row r="49" ht="15.75" customHeight="1" s="562">
      <c r="A49" s="610" t="n"/>
      <c r="B49" s="610" t="n"/>
      <c r="C49" s="611" t="n"/>
      <c r="D49" s="610" t="n"/>
      <c r="E49" s="610" t="n"/>
      <c r="F49" s="610" t="n"/>
      <c r="G49" s="610" t="n"/>
      <c r="H49" s="611" t="n"/>
      <c r="I49" s="610" t="n"/>
      <c r="J49" s="610" t="n"/>
      <c r="K49" s="610" t="n"/>
      <c r="L49" s="610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S104"/>
  <sheetViews>
    <sheetView showFormulas="0" showGridLines="1" showRowColHeaders="1" showZeros="1" rightToLeft="0" tabSelected="0" showOutlineSymbols="1" defaultGridColor="1" view="normal" topLeftCell="A98" colorId="64" zoomScale="137" zoomScaleNormal="137" zoomScalePageLayoutView="100" workbookViewId="0">
      <selection pane="topLeft" activeCell="C79" activeCellId="0" sqref="C79"/>
    </sheetView>
  </sheetViews>
  <sheetFormatPr baseColWidth="8" defaultColWidth="10.4921875" defaultRowHeight="15.75" customHeight="0" zeroHeight="0" outlineLevelRow="0"/>
  <cols>
    <col width="23.5" customWidth="1" style="561" min="1" max="1"/>
    <col width="18.16" customWidth="1" style="561" min="2" max="2"/>
    <col width="14.83" customWidth="1" style="561" min="3" max="3"/>
    <col width="22" customWidth="1" style="561" min="6" max="6"/>
    <col width="14.83" customWidth="1" style="561" min="7" max="7"/>
    <col width="24" customWidth="1" style="561" min="10" max="10"/>
    <col width="14.83" customWidth="1" style="561" min="11" max="11"/>
    <col width="10" customWidth="1" style="561" min="13" max="13"/>
    <col width="23" customWidth="1" style="561" min="14" max="14"/>
    <col width="14.83" customWidth="1" style="561" min="15" max="15"/>
    <col width="18.16" customWidth="1" style="561" min="18" max="18"/>
    <col width="14.83" customWidth="1" style="561" min="19" max="19"/>
  </cols>
  <sheetData>
    <row r="1" ht="18.75" customHeight="1" s="562">
      <c r="A1" s="612" t="inlineStr">
        <is>
          <t xml:space="preserve">Johnstons </t>
        </is>
      </c>
      <c r="B1" s="613" t="n"/>
      <c r="C1" s="614" t="n"/>
      <c r="D1" s="591" t="n"/>
      <c r="E1" s="612" t="inlineStr">
        <is>
          <t xml:space="preserve">Van Der Linde </t>
        </is>
      </c>
      <c r="F1" s="613" t="n"/>
      <c r="G1" s="614" t="n"/>
      <c r="H1" s="591" t="n"/>
      <c r="I1" s="615" t="inlineStr">
        <is>
          <t xml:space="preserve">Hennie </t>
        </is>
      </c>
      <c r="J1" s="613" t="n"/>
      <c r="K1" s="614" t="n"/>
      <c r="L1" s="591" t="n"/>
      <c r="M1" s="615" t="inlineStr">
        <is>
          <t>John Bierman</t>
        </is>
      </c>
      <c r="N1" s="613" t="n"/>
      <c r="O1" s="614" t="n"/>
      <c r="P1" s="591" t="n"/>
      <c r="Q1" s="615" t="inlineStr">
        <is>
          <t>Hillery</t>
        </is>
      </c>
      <c r="R1" s="613" t="n"/>
      <c r="S1" s="614" t="n"/>
    </row>
    <row r="2" ht="18.75" customHeight="1" s="562">
      <c r="A2" s="616" t="inlineStr">
        <is>
          <t xml:space="preserve">Income </t>
        </is>
      </c>
      <c r="B2" s="617" t="n"/>
      <c r="C2" s="618" t="n"/>
      <c r="D2" s="591" t="n"/>
      <c r="E2" s="616" t="inlineStr">
        <is>
          <t xml:space="preserve">Income </t>
        </is>
      </c>
      <c r="F2" s="617" t="n"/>
      <c r="G2" s="618" t="n"/>
      <c r="H2" s="591" t="n"/>
      <c r="I2" s="619" t="inlineStr">
        <is>
          <t xml:space="preserve">Income </t>
        </is>
      </c>
      <c r="J2" s="617" t="n"/>
      <c r="K2" s="618" t="n"/>
      <c r="L2" s="591" t="n"/>
      <c r="M2" s="619" t="inlineStr">
        <is>
          <t xml:space="preserve">Income </t>
        </is>
      </c>
      <c r="N2" s="617" t="n"/>
      <c r="O2" s="618" t="n"/>
      <c r="P2" s="591" t="n"/>
      <c r="Q2" s="619" t="inlineStr">
        <is>
          <t xml:space="preserve">Income </t>
        </is>
      </c>
      <c r="R2" s="617" t="n"/>
      <c r="S2" s="618" t="n"/>
    </row>
    <row r="3" ht="18" customHeight="1" s="562">
      <c r="A3" s="620" t="inlineStr">
        <is>
          <t>Date:</t>
        </is>
      </c>
      <c r="B3" s="591" t="n"/>
      <c r="C3" s="621" t="inlineStr">
        <is>
          <t xml:space="preserve">Payment </t>
        </is>
      </c>
      <c r="D3" s="591" t="n"/>
      <c r="E3" s="620" t="inlineStr">
        <is>
          <t>Date:</t>
        </is>
      </c>
      <c r="F3" s="591" t="n"/>
      <c r="G3" s="621" t="inlineStr">
        <is>
          <t xml:space="preserve">Payment </t>
        </is>
      </c>
      <c r="H3" s="591" t="n"/>
      <c r="I3" s="622" t="inlineStr">
        <is>
          <t>Date:</t>
        </is>
      </c>
      <c r="J3" s="623" t="n"/>
      <c r="K3" s="624" t="inlineStr">
        <is>
          <t xml:space="preserve">Payment </t>
        </is>
      </c>
      <c r="L3" s="591" t="n"/>
      <c r="M3" s="622" t="inlineStr">
        <is>
          <t>Date:</t>
        </is>
      </c>
      <c r="N3" s="623" t="n"/>
      <c r="O3" s="624" t="inlineStr">
        <is>
          <t xml:space="preserve">Payment </t>
        </is>
      </c>
      <c r="P3" s="591" t="n"/>
      <c r="Q3" s="622" t="inlineStr">
        <is>
          <t>Date:</t>
        </is>
      </c>
      <c r="R3" s="623" t="n"/>
      <c r="S3" s="624" t="inlineStr">
        <is>
          <t xml:space="preserve">Payment </t>
        </is>
      </c>
    </row>
    <row r="4" ht="18" customHeight="1" s="562">
      <c r="A4" s="625" t="n">
        <v>45962</v>
      </c>
      <c r="B4" s="609" t="n"/>
      <c r="C4" s="601" t="n">
        <v>24000</v>
      </c>
      <c r="D4" s="591" t="n"/>
      <c r="E4" s="625" t="n">
        <v>45962</v>
      </c>
      <c r="F4" s="609" t="n"/>
      <c r="G4" s="601" t="n">
        <v>22200</v>
      </c>
      <c r="H4" s="591" t="n"/>
      <c r="I4" s="625" t="n">
        <v>45962</v>
      </c>
      <c r="J4" s="626" t="n"/>
      <c r="K4" s="627" t="n">
        <v>4650</v>
      </c>
      <c r="L4" s="591" t="n"/>
      <c r="M4" s="625" t="n">
        <v>45962</v>
      </c>
      <c r="N4" s="626" t="n"/>
      <c r="O4" s="627" t="n">
        <v>16000</v>
      </c>
      <c r="P4" s="591" t="n"/>
      <c r="Q4" s="625" t="n">
        <v>45962</v>
      </c>
      <c r="R4" s="626" t="n"/>
      <c r="S4" s="624" t="n">
        <v>1900</v>
      </c>
    </row>
    <row r="5" ht="18" customHeight="1" s="562">
      <c r="A5" s="625" t="n"/>
      <c r="B5" s="609" t="n"/>
      <c r="C5" s="601" t="n"/>
      <c r="D5" s="591" t="n"/>
      <c r="E5" s="625" t="n"/>
      <c r="F5" s="609" t="n"/>
      <c r="G5" s="601" t="n"/>
      <c r="H5" s="591" t="n"/>
      <c r="I5" s="625" t="n">
        <v>45971</v>
      </c>
      <c r="J5" s="626" t="n"/>
      <c r="K5" s="627" t="n">
        <v>4650</v>
      </c>
      <c r="L5" s="591" t="n"/>
      <c r="M5" s="625" t="n"/>
      <c r="N5" s="626" t="n"/>
      <c r="O5" s="627" t="n"/>
      <c r="P5" s="591" t="n"/>
      <c r="Q5" s="625" t="n">
        <v>45990</v>
      </c>
      <c r="R5" s="626" t="n"/>
      <c r="S5" s="624" t="n">
        <v>1900</v>
      </c>
    </row>
    <row r="6" ht="18" customHeight="1" s="562">
      <c r="A6" s="625" t="n"/>
      <c r="B6" s="609" t="n"/>
      <c r="C6" s="601" t="n"/>
      <c r="D6" s="591" t="n"/>
      <c r="E6" s="625" t="n"/>
      <c r="F6" s="609" t="n"/>
      <c r="G6" s="601" t="n"/>
      <c r="H6" s="591" t="n"/>
      <c r="I6" s="625" t="n">
        <v>45978</v>
      </c>
      <c r="J6" s="626" t="n"/>
      <c r="K6" s="627" t="n">
        <v>4650</v>
      </c>
      <c r="L6" s="591" t="n"/>
      <c r="M6" s="625" t="n"/>
      <c r="N6" s="626" t="n"/>
      <c r="O6" s="627" t="n"/>
      <c r="P6" s="591" t="n"/>
      <c r="Q6" s="625" t="n"/>
      <c r="R6" s="626" t="n"/>
      <c r="S6" s="624" t="n"/>
    </row>
    <row r="7" ht="18.75" customHeight="1" s="562">
      <c r="A7" s="620" t="n"/>
      <c r="B7" s="591" t="n"/>
      <c r="C7" s="601" t="n"/>
      <c r="D7" s="591" t="n"/>
      <c r="E7" s="620" t="n"/>
      <c r="F7" s="591" t="n"/>
      <c r="G7" s="601" t="n"/>
      <c r="H7" s="591" t="n"/>
      <c r="I7" s="628" t="n">
        <v>45985</v>
      </c>
      <c r="J7" s="623" t="n"/>
      <c r="K7" s="627" t="n">
        <v>4650</v>
      </c>
      <c r="L7" s="591" t="n"/>
      <c r="M7" s="622" t="n"/>
      <c r="N7" s="623" t="n"/>
      <c r="O7" s="627" t="n"/>
      <c r="P7" s="591" t="n"/>
      <c r="Q7" s="622" t="n"/>
      <c r="R7" s="623" t="n"/>
      <c r="S7" s="624" t="n"/>
    </row>
    <row r="8" ht="18.75" customHeight="1" s="562">
      <c r="A8" s="620" t="n"/>
      <c r="B8" s="591" t="n"/>
      <c r="C8" s="629">
        <f>SUM(C4:C7)</f>
        <v/>
      </c>
      <c r="D8" s="591" t="n"/>
      <c r="E8" s="620" t="n"/>
      <c r="F8" s="591" t="n"/>
      <c r="G8" s="629">
        <f>SUM(G4:G7)</f>
        <v/>
      </c>
      <c r="H8" s="591" t="n"/>
      <c r="I8" s="628" t="n"/>
      <c r="J8" s="623" t="n"/>
      <c r="K8" s="630">
        <f>SUM(K4:K7)</f>
        <v/>
      </c>
      <c r="L8" s="591" t="n"/>
      <c r="M8" s="622" t="n"/>
      <c r="N8" s="623" t="n"/>
      <c r="O8" s="630">
        <f>SUM(O4:O7)</f>
        <v/>
      </c>
      <c r="P8" s="591" t="n"/>
      <c r="Q8" s="622" t="n"/>
      <c r="R8" s="623" t="n"/>
      <c r="S8" s="631">
        <f>SUM(S4:S7)</f>
        <v/>
      </c>
    </row>
    <row r="9" ht="18.75" customHeight="1" s="562">
      <c r="A9" s="632" t="inlineStr">
        <is>
          <t xml:space="preserve">Expenses </t>
        </is>
      </c>
      <c r="B9" s="617" t="n"/>
      <c r="C9" s="618" t="n"/>
      <c r="D9" s="591" t="n"/>
      <c r="E9" s="632" t="inlineStr">
        <is>
          <t xml:space="preserve">Expenses </t>
        </is>
      </c>
      <c r="F9" s="617" t="n"/>
      <c r="G9" s="618" t="n"/>
      <c r="H9" s="591" t="n"/>
      <c r="I9" s="633" t="inlineStr">
        <is>
          <t xml:space="preserve">Expenses </t>
        </is>
      </c>
      <c r="J9" s="617" t="n"/>
      <c r="K9" s="618" t="n"/>
      <c r="L9" s="591" t="n"/>
      <c r="M9" s="633" t="inlineStr">
        <is>
          <t xml:space="preserve">Expenses </t>
        </is>
      </c>
      <c r="N9" s="617" t="n"/>
      <c r="O9" s="618" t="n"/>
      <c r="P9" s="591" t="n"/>
      <c r="Q9" s="633" t="inlineStr">
        <is>
          <t xml:space="preserve">Expenses </t>
        </is>
      </c>
      <c r="R9" s="617" t="n"/>
      <c r="S9" s="618" t="n"/>
    </row>
    <row r="10" ht="18" customHeight="1" s="562">
      <c r="A10" s="620" t="inlineStr">
        <is>
          <t>Date:</t>
        </is>
      </c>
      <c r="B10" s="591" t="inlineStr">
        <is>
          <t xml:space="preserve">Expense Name </t>
        </is>
      </c>
      <c r="C10" s="621" t="inlineStr">
        <is>
          <t xml:space="preserve">Amount </t>
        </is>
      </c>
      <c r="D10" s="591" t="n"/>
      <c r="E10" s="620" t="inlineStr">
        <is>
          <t>Date:</t>
        </is>
      </c>
      <c r="F10" s="591" t="inlineStr">
        <is>
          <t xml:space="preserve">Expense Name </t>
        </is>
      </c>
      <c r="G10" s="621" t="inlineStr">
        <is>
          <t xml:space="preserve">Amount </t>
        </is>
      </c>
      <c r="H10" s="591" t="n"/>
      <c r="I10" s="622" t="inlineStr">
        <is>
          <t>Date:</t>
        </is>
      </c>
      <c r="J10" s="623" t="inlineStr">
        <is>
          <t xml:space="preserve">Expense Name </t>
        </is>
      </c>
      <c r="K10" s="624" t="inlineStr">
        <is>
          <t xml:space="preserve">Amount </t>
        </is>
      </c>
      <c r="L10" s="591" t="n"/>
      <c r="M10" s="622" t="inlineStr">
        <is>
          <t>Date:</t>
        </is>
      </c>
      <c r="N10" s="623" t="inlineStr">
        <is>
          <t xml:space="preserve">Expense Name </t>
        </is>
      </c>
      <c r="O10" s="624" t="inlineStr">
        <is>
          <t xml:space="preserve">Amount </t>
        </is>
      </c>
      <c r="P10" s="591" t="n"/>
      <c r="Q10" s="622" t="inlineStr">
        <is>
          <t>Date:</t>
        </is>
      </c>
      <c r="R10" s="623" t="inlineStr">
        <is>
          <t xml:space="preserve">Expense Name </t>
        </is>
      </c>
      <c r="S10" s="624" t="inlineStr">
        <is>
          <t xml:space="preserve">Amount </t>
        </is>
      </c>
    </row>
    <row r="11" ht="18" customHeight="1" s="562">
      <c r="A11" s="625" t="n">
        <v>45962</v>
      </c>
      <c r="B11" s="591" t="inlineStr">
        <is>
          <t xml:space="preserve">Linda </t>
        </is>
      </c>
      <c r="C11" s="621" t="n">
        <v>9600</v>
      </c>
      <c r="D11" s="591" t="n"/>
      <c r="E11" s="625" t="n">
        <v>45962</v>
      </c>
      <c r="F11" s="591" t="inlineStr">
        <is>
          <t xml:space="preserve">Emily </t>
        </is>
      </c>
      <c r="G11" s="621" t="n">
        <v>3600</v>
      </c>
      <c r="H11" s="591" t="n"/>
      <c r="I11" s="625" t="n">
        <v>45962</v>
      </c>
      <c r="J11" s="591" t="inlineStr">
        <is>
          <t xml:space="preserve">Cynthia </t>
        </is>
      </c>
      <c r="K11" s="621" t="n">
        <v>8750</v>
      </c>
      <c r="L11" s="591" t="n"/>
      <c r="M11" s="625" t="n">
        <v>45962</v>
      </c>
      <c r="N11" s="591" t="inlineStr">
        <is>
          <t>Mzee</t>
        </is>
      </c>
      <c r="O11" s="621" t="n">
        <v>6450</v>
      </c>
      <c r="P11" s="591" t="n"/>
      <c r="Q11" s="625" t="n">
        <v>45962</v>
      </c>
      <c r="R11" s="591" t="inlineStr">
        <is>
          <t>Tracy</t>
        </is>
      </c>
      <c r="S11" s="621" t="n">
        <v>2250</v>
      </c>
    </row>
    <row r="12" ht="18" customHeight="1" s="562">
      <c r="A12" s="625" t="n">
        <v>45962</v>
      </c>
      <c r="B12" s="591" t="inlineStr">
        <is>
          <t>Ada</t>
        </is>
      </c>
      <c r="C12" s="621" t="n">
        <v>6300</v>
      </c>
      <c r="D12" s="591" t="n"/>
      <c r="E12" s="625" t="n">
        <v>45962</v>
      </c>
      <c r="F12" s="591" t="inlineStr">
        <is>
          <t xml:space="preserve">Joyce </t>
        </is>
      </c>
      <c r="G12" s="621" t="n">
        <v>900</v>
      </c>
      <c r="H12" s="591" t="n"/>
      <c r="I12" s="625" t="n">
        <v>45962</v>
      </c>
      <c r="J12" s="591" t="inlineStr">
        <is>
          <t xml:space="preserve">Uber </t>
        </is>
      </c>
      <c r="K12" s="621" t="n">
        <v>4721</v>
      </c>
      <c r="L12" s="591" t="n"/>
      <c r="M12" s="620" t="n"/>
      <c r="N12" s="591" t="n"/>
      <c r="O12" s="621" t="n"/>
      <c r="P12" s="591" t="n"/>
      <c r="Q12" s="625" t="n"/>
      <c r="R12" s="591" t="n"/>
      <c r="S12" s="621" t="n"/>
    </row>
    <row r="13" ht="18" customHeight="1" s="562">
      <c r="A13" s="625" t="n">
        <v>45962</v>
      </c>
      <c r="B13" s="591" t="inlineStr">
        <is>
          <t>Ada Stipens</t>
        </is>
      </c>
      <c r="C13" s="621" t="n">
        <v>3500</v>
      </c>
      <c r="D13" s="591" t="n"/>
      <c r="E13" s="625" t="n">
        <v>45962</v>
      </c>
      <c r="F13" s="591" t="inlineStr">
        <is>
          <t xml:space="preserve">Emma </t>
        </is>
      </c>
      <c r="G13" s="621" t="n">
        <v>9000</v>
      </c>
      <c r="H13" s="591" t="n"/>
      <c r="I13" s="620" t="n"/>
      <c r="J13" s="591" t="n"/>
      <c r="K13" s="621" t="n"/>
      <c r="L13" s="591" t="n"/>
      <c r="M13" s="620" t="n"/>
      <c r="N13" s="591" t="n"/>
      <c r="O13" s="621" t="n"/>
      <c r="P13" s="591" t="n"/>
      <c r="Q13" s="620" t="n"/>
      <c r="R13" s="591" t="n"/>
      <c r="S13" s="621" t="n"/>
    </row>
    <row r="14" ht="18" customHeight="1" s="562">
      <c r="A14" s="620" t="n"/>
      <c r="B14" s="591" t="n"/>
      <c r="C14" s="621" t="n"/>
      <c r="D14" s="591" t="n"/>
      <c r="E14" s="625" t="n">
        <v>45962</v>
      </c>
      <c r="F14" s="591" t="inlineStr">
        <is>
          <t xml:space="preserve">Uber </t>
        </is>
      </c>
      <c r="G14" s="621" t="n">
        <v>941</v>
      </c>
      <c r="H14" s="591" t="n"/>
      <c r="I14" s="620" t="n"/>
      <c r="J14" s="591" t="n"/>
      <c r="K14" s="621" t="n"/>
      <c r="L14" s="591" t="n"/>
      <c r="M14" s="620" t="n"/>
      <c r="N14" s="591" t="n"/>
      <c r="O14" s="621" t="n"/>
      <c r="P14" s="591" t="n"/>
      <c r="Q14" s="620" t="n"/>
      <c r="R14" s="591" t="n"/>
      <c r="S14" s="621" t="n"/>
    </row>
    <row r="15" ht="18" customHeight="1" s="562">
      <c r="A15" s="620" t="n"/>
      <c r="B15" s="591" t="n"/>
      <c r="C15" s="621" t="n"/>
      <c r="D15" s="591" t="n"/>
      <c r="E15" s="620" t="n"/>
      <c r="F15" s="591" t="n"/>
      <c r="G15" s="621" t="n"/>
      <c r="H15" s="591" t="n"/>
      <c r="I15" s="620" t="n"/>
      <c r="J15" s="591" t="n"/>
      <c r="K15" s="621" t="n"/>
      <c r="L15" s="591" t="n"/>
      <c r="M15" s="620" t="n"/>
      <c r="N15" s="591" t="n"/>
      <c r="O15" s="621" t="n"/>
      <c r="P15" s="591" t="n"/>
      <c r="Q15" s="620" t="n"/>
      <c r="R15" s="591" t="n"/>
      <c r="S15" s="621" t="n"/>
    </row>
    <row r="16" ht="18" customHeight="1" s="562">
      <c r="A16" s="620" t="n"/>
      <c r="B16" s="591" t="n"/>
      <c r="C16" s="621" t="n"/>
      <c r="D16" s="591" t="n"/>
      <c r="E16" s="620" t="n"/>
      <c r="F16" s="591" t="n"/>
      <c r="G16" s="621" t="n"/>
      <c r="H16" s="591" t="n"/>
      <c r="I16" s="620" t="n"/>
      <c r="J16" s="591" t="n"/>
      <c r="K16" s="621" t="n"/>
      <c r="L16" s="591" t="n"/>
      <c r="M16" s="620" t="n"/>
      <c r="N16" s="591" t="n"/>
      <c r="O16" s="621" t="n"/>
      <c r="P16" s="591" t="n"/>
      <c r="Q16" s="620" t="n"/>
      <c r="R16" s="591" t="n"/>
      <c r="S16" s="621" t="n"/>
    </row>
    <row r="17" ht="18" customHeight="1" s="562">
      <c r="A17" s="620" t="n"/>
      <c r="B17" s="591" t="n"/>
      <c r="C17" s="621" t="n"/>
      <c r="D17" s="591" t="n"/>
      <c r="E17" s="620" t="n"/>
      <c r="F17" s="591" t="n"/>
      <c r="G17" s="621" t="n"/>
      <c r="H17" s="591" t="n"/>
      <c r="I17" s="620" t="n"/>
      <c r="J17" s="591" t="n"/>
      <c r="K17" s="621" t="n"/>
      <c r="L17" s="591" t="n"/>
      <c r="M17" s="620" t="n"/>
      <c r="N17" s="591" t="n"/>
      <c r="O17" s="621" t="n"/>
      <c r="P17" s="591" t="n"/>
      <c r="Q17" s="620" t="n"/>
      <c r="R17" s="591" t="n"/>
      <c r="S17" s="621" t="n"/>
    </row>
    <row r="18" ht="18" customHeight="1" s="562">
      <c r="A18" s="620" t="n"/>
      <c r="B18" s="591" t="n"/>
      <c r="C18" s="621" t="n"/>
      <c r="D18" s="591" t="n"/>
      <c r="E18" s="620" t="n"/>
      <c r="F18" s="591" t="n"/>
      <c r="G18" s="621" t="n"/>
      <c r="H18" s="591" t="n"/>
      <c r="I18" s="620" t="n"/>
      <c r="J18" s="591" t="n"/>
      <c r="K18" s="621" t="n"/>
      <c r="L18" s="591" t="n"/>
      <c r="M18" s="620" t="n"/>
      <c r="N18" s="591" t="n"/>
      <c r="O18" s="621" t="n"/>
      <c r="P18" s="591" t="n"/>
      <c r="Q18" s="620" t="n"/>
      <c r="R18" s="591" t="n"/>
      <c r="S18" s="621" t="n"/>
    </row>
    <row r="19" ht="18" customHeight="1" s="562">
      <c r="A19" s="620" t="n"/>
      <c r="B19" s="591" t="n"/>
      <c r="C19" s="621" t="n"/>
      <c r="D19" s="591" t="n"/>
      <c r="E19" s="620" t="n"/>
      <c r="F19" s="591" t="n"/>
      <c r="G19" s="621" t="n"/>
      <c r="H19" s="591" t="n"/>
      <c r="I19" s="620" t="n"/>
      <c r="J19" s="591" t="n"/>
      <c r="K19" s="621" t="n"/>
      <c r="L19" s="591" t="n"/>
      <c r="M19" s="620" t="n"/>
      <c r="N19" s="591" t="n"/>
      <c r="O19" s="621" t="n"/>
      <c r="P19" s="591" t="n"/>
      <c r="Q19" s="620" t="n"/>
      <c r="R19" s="591" t="n"/>
      <c r="S19" s="621" t="n"/>
    </row>
    <row r="20" ht="18" customHeight="1" s="562">
      <c r="A20" s="620" t="n"/>
      <c r="B20" s="591" t="n"/>
      <c r="C20" s="621" t="n"/>
      <c r="D20" s="591" t="n"/>
      <c r="E20" s="620" t="n"/>
      <c r="F20" s="591" t="n"/>
      <c r="G20" s="621" t="n"/>
      <c r="H20" s="591" t="n"/>
      <c r="I20" s="620" t="n"/>
      <c r="J20" s="591" t="n"/>
      <c r="K20" s="621" t="n"/>
      <c r="L20" s="591" t="n"/>
      <c r="M20" s="620" t="n"/>
      <c r="N20" s="591" t="n"/>
      <c r="O20" s="621" t="n"/>
      <c r="P20" s="591" t="n"/>
      <c r="Q20" s="620" t="n"/>
      <c r="R20" s="591" t="n"/>
      <c r="S20" s="621" t="n"/>
    </row>
    <row r="21" ht="18" customHeight="1" s="562">
      <c r="A21" s="620" t="n"/>
      <c r="B21" s="591" t="n"/>
      <c r="C21" s="621" t="n"/>
      <c r="D21" s="591" t="n"/>
      <c r="E21" s="620" t="n"/>
      <c r="F21" s="591" t="n"/>
      <c r="G21" s="621" t="n"/>
      <c r="H21" s="591" t="n"/>
      <c r="I21" s="620" t="n"/>
      <c r="J21" s="591" t="n"/>
      <c r="K21" s="621" t="n"/>
      <c r="L21" s="591" t="n"/>
      <c r="M21" s="620" t="n"/>
      <c r="N21" s="591" t="n"/>
      <c r="O21" s="621" t="n"/>
      <c r="P21" s="591" t="n"/>
      <c r="Q21" s="620" t="n"/>
      <c r="R21" s="591" t="n"/>
      <c r="S21" s="621" t="n"/>
    </row>
    <row r="22" ht="18.75" customHeight="1" s="562">
      <c r="A22" s="620" t="n"/>
      <c r="B22" s="591" t="n"/>
      <c r="C22" s="621" t="n"/>
      <c r="D22" s="591" t="n"/>
      <c r="E22" s="620" t="n"/>
      <c r="F22" s="591" t="n"/>
      <c r="G22" s="621" t="n"/>
      <c r="H22" s="591" t="n"/>
      <c r="I22" s="620" t="n"/>
      <c r="J22" s="591" t="n"/>
      <c r="K22" s="621" t="n"/>
      <c r="L22" s="591" t="n"/>
      <c r="M22" s="620" t="n"/>
      <c r="N22" s="591" t="n"/>
      <c r="O22" s="621" t="n"/>
      <c r="P22" s="591" t="n"/>
      <c r="Q22" s="620" t="n"/>
      <c r="R22" s="591" t="n"/>
      <c r="S22" s="621" t="n"/>
    </row>
    <row r="23" ht="18.75" customHeight="1" s="562">
      <c r="A23" s="634" t="inlineStr">
        <is>
          <t xml:space="preserve">Total Expense </t>
        </is>
      </c>
      <c r="B23" s="617" t="n"/>
      <c r="C23" s="635">
        <f>SUM(C11:C22)</f>
        <v/>
      </c>
      <c r="D23" s="591" t="n"/>
      <c r="E23" s="634" t="inlineStr">
        <is>
          <t xml:space="preserve">Total Expense </t>
        </is>
      </c>
      <c r="F23" s="617" t="n"/>
      <c r="G23" s="635">
        <f>SUM(G11:G22)</f>
        <v/>
      </c>
      <c r="H23" s="591" t="n"/>
      <c r="I23" s="634" t="inlineStr">
        <is>
          <t xml:space="preserve">Total Expense </t>
        </is>
      </c>
      <c r="J23" s="617" t="n"/>
      <c r="K23" s="635">
        <f>SUM(K11:K22)</f>
        <v/>
      </c>
      <c r="L23" s="591" t="n"/>
      <c r="M23" s="634" t="inlineStr">
        <is>
          <t xml:space="preserve">Total Expense </t>
        </is>
      </c>
      <c r="N23" s="617" t="n"/>
      <c r="O23" s="635">
        <f>SUM(O11:O22)</f>
        <v/>
      </c>
      <c r="P23" s="591" t="n"/>
      <c r="Q23" s="634" t="inlineStr">
        <is>
          <t xml:space="preserve">Total Expense </t>
        </is>
      </c>
      <c r="R23" s="617" t="n"/>
      <c r="S23" s="635">
        <f>SUM(S11:S22)</f>
        <v/>
      </c>
    </row>
    <row r="24" ht="18.75" customHeight="1" s="562">
      <c r="A24" s="636" t="inlineStr">
        <is>
          <t xml:space="preserve">Income - Expense </t>
        </is>
      </c>
      <c r="B24" s="637" t="n"/>
      <c r="C24" s="638">
        <f>MIN(C4-C23)</f>
        <v/>
      </c>
      <c r="D24" s="591" t="n"/>
      <c r="E24" s="636" t="inlineStr">
        <is>
          <t xml:space="preserve">Income - Expense </t>
        </is>
      </c>
      <c r="F24" s="637" t="n"/>
      <c r="G24" s="638">
        <f>MIN(G4-G23)</f>
        <v/>
      </c>
      <c r="H24" s="591" t="n"/>
      <c r="I24" s="636" t="inlineStr">
        <is>
          <t xml:space="preserve">Income - Expense </t>
        </is>
      </c>
      <c r="J24" s="637" t="n"/>
      <c r="K24" s="638">
        <f>MIN(K8-K23)</f>
        <v/>
      </c>
      <c r="L24" s="591" t="n"/>
      <c r="M24" s="636" t="inlineStr">
        <is>
          <t xml:space="preserve">Income - Expense </t>
        </is>
      </c>
      <c r="N24" s="637" t="n"/>
      <c r="O24" s="638">
        <f>MIN(O4-O23)</f>
        <v/>
      </c>
      <c r="P24" s="591" t="n"/>
      <c r="Q24" s="636" t="inlineStr">
        <is>
          <t xml:space="preserve">Income - Expense </t>
        </is>
      </c>
      <c r="R24" s="637" t="n"/>
      <c r="S24" s="638">
        <f>MIN(S8-S23)</f>
        <v/>
      </c>
    </row>
    <row r="26" ht="18.75" customHeight="1" s="562">
      <c r="A26" s="615" t="inlineStr">
        <is>
          <t>Van Vuuren</t>
        </is>
      </c>
      <c r="B26" s="613" t="n"/>
      <c r="C26" s="614" t="n"/>
      <c r="E26" s="612" t="inlineStr">
        <is>
          <t>Trevor Botes</t>
        </is>
      </c>
      <c r="F26" s="613" t="n"/>
      <c r="G26" s="614" t="n"/>
      <c r="I26" s="615" t="inlineStr">
        <is>
          <t>Johann Roos</t>
        </is>
      </c>
      <c r="J26" s="613" t="n"/>
      <c r="K26" s="614" t="n"/>
      <c r="M26" s="615" t="inlineStr">
        <is>
          <t>Ishaan/Elizabth</t>
        </is>
      </c>
      <c r="N26" s="613" t="n"/>
      <c r="O26" s="614" t="n"/>
      <c r="Q26" s="615" t="inlineStr">
        <is>
          <t>Androilla/ Praxia</t>
        </is>
      </c>
      <c r="R26" s="613" t="n"/>
      <c r="S26" s="614" t="n"/>
    </row>
    <row r="27" ht="18.75" customHeight="1" s="562">
      <c r="A27" s="619" t="inlineStr">
        <is>
          <t xml:space="preserve">Income </t>
        </is>
      </c>
      <c r="B27" s="617" t="n"/>
      <c r="C27" s="618" t="n"/>
      <c r="E27" s="616" t="inlineStr">
        <is>
          <t xml:space="preserve">Income </t>
        </is>
      </c>
      <c r="F27" s="617" t="n"/>
      <c r="G27" s="618" t="n"/>
      <c r="I27" s="619" t="inlineStr">
        <is>
          <t xml:space="preserve">Income </t>
        </is>
      </c>
      <c r="J27" s="617" t="n"/>
      <c r="K27" s="618" t="n"/>
      <c r="M27" s="619" t="inlineStr">
        <is>
          <t xml:space="preserve">Income </t>
        </is>
      </c>
      <c r="N27" s="617" t="n"/>
      <c r="O27" s="618" t="n"/>
      <c r="Q27" s="619" t="inlineStr">
        <is>
          <t xml:space="preserve">Income </t>
        </is>
      </c>
      <c r="R27" s="617" t="n"/>
      <c r="S27" s="618" t="n"/>
    </row>
    <row r="28" ht="18" customHeight="1" s="562">
      <c r="A28" s="622" t="inlineStr">
        <is>
          <t>Date:</t>
        </is>
      </c>
      <c r="B28" s="623" t="n"/>
      <c r="C28" s="624" t="inlineStr">
        <is>
          <t xml:space="preserve">Payment </t>
        </is>
      </c>
      <c r="E28" s="620" t="inlineStr">
        <is>
          <t>Date:</t>
        </is>
      </c>
      <c r="F28" s="591" t="n"/>
      <c r="G28" s="621" t="inlineStr">
        <is>
          <t xml:space="preserve">Payment </t>
        </is>
      </c>
      <c r="I28" s="622" t="inlineStr">
        <is>
          <t>Date:</t>
        </is>
      </c>
      <c r="J28" s="623" t="n"/>
      <c r="K28" s="624" t="inlineStr">
        <is>
          <t xml:space="preserve">Payment </t>
        </is>
      </c>
      <c r="M28" s="622" t="inlineStr">
        <is>
          <t>Date:</t>
        </is>
      </c>
      <c r="N28" s="623" t="n"/>
      <c r="O28" s="624" t="inlineStr">
        <is>
          <t xml:space="preserve">Payment </t>
        </is>
      </c>
      <c r="Q28" s="622" t="inlineStr">
        <is>
          <t>Date:</t>
        </is>
      </c>
      <c r="R28" s="623" t="n"/>
      <c r="S28" s="624" t="inlineStr">
        <is>
          <t xml:space="preserve">Payment </t>
        </is>
      </c>
    </row>
    <row r="29" ht="18" customHeight="1" s="562">
      <c r="A29" s="625" t="n">
        <v>45962</v>
      </c>
      <c r="B29" s="626" t="n"/>
      <c r="C29" s="627" t="n">
        <v>5600</v>
      </c>
      <c r="E29" s="625" t="n">
        <v>45962</v>
      </c>
      <c r="F29" s="609" t="n"/>
      <c r="G29" s="601" t="n">
        <v>3750</v>
      </c>
      <c r="I29" s="625" t="n">
        <v>45962</v>
      </c>
      <c r="J29" s="626" t="n"/>
      <c r="K29" s="627" t="n">
        <v>7000</v>
      </c>
      <c r="M29" s="628" t="n">
        <v>45962</v>
      </c>
      <c r="N29" s="626" t="n"/>
      <c r="O29" s="627" t="n">
        <v>6650</v>
      </c>
      <c r="Q29" s="628" t="n">
        <v>45962</v>
      </c>
      <c r="R29" s="626" t="n"/>
      <c r="S29" s="627" t="n">
        <v>5250</v>
      </c>
    </row>
    <row r="30" ht="18" customHeight="1" s="562">
      <c r="A30" s="625" t="n">
        <v>45971</v>
      </c>
      <c r="B30" s="626" t="n"/>
      <c r="C30" s="627" t="n">
        <v>5600</v>
      </c>
      <c r="E30" s="625" t="n">
        <v>45971</v>
      </c>
      <c r="F30" s="609" t="n"/>
      <c r="G30" s="601" t="n">
        <v>3750</v>
      </c>
      <c r="I30" s="625" t="n">
        <v>45971</v>
      </c>
      <c r="J30" s="626" t="n"/>
      <c r="K30" s="627" t="n">
        <v>7000</v>
      </c>
      <c r="M30" s="628" t="n">
        <v>45968</v>
      </c>
      <c r="N30" s="626" t="n"/>
      <c r="O30" s="627" t="n">
        <v>6650</v>
      </c>
      <c r="Q30" s="628" t="n">
        <v>45973</v>
      </c>
      <c r="R30" s="626" t="n"/>
      <c r="S30" s="627" t="n">
        <v>5250</v>
      </c>
    </row>
    <row r="31" ht="18" customHeight="1" s="562">
      <c r="A31" s="625" t="n">
        <v>45978</v>
      </c>
      <c r="B31" s="626" t="n"/>
      <c r="C31" s="627" t="n">
        <v>5600</v>
      </c>
      <c r="E31" s="625" t="n">
        <v>45978</v>
      </c>
      <c r="F31" s="609" t="n"/>
      <c r="G31" s="601" t="n">
        <v>3750</v>
      </c>
      <c r="I31" s="625" t="n"/>
      <c r="J31" s="626" t="n"/>
      <c r="K31" s="624" t="n"/>
      <c r="M31" s="628" t="n"/>
      <c r="N31" s="626" t="n"/>
      <c r="O31" s="624" t="n"/>
      <c r="Q31" s="628" t="n">
        <v>45981</v>
      </c>
      <c r="R31" s="626" t="n"/>
      <c r="S31" s="627" t="n">
        <v>5250</v>
      </c>
    </row>
    <row r="32" ht="18" customHeight="1" s="562">
      <c r="A32" s="625" t="n">
        <v>45985</v>
      </c>
      <c r="B32" s="626" t="n"/>
      <c r="C32" s="627" t="n">
        <v>3200</v>
      </c>
      <c r="E32" s="625" t="n">
        <v>45985</v>
      </c>
      <c r="F32" s="609" t="n"/>
      <c r="G32" s="601" t="n">
        <v>3750</v>
      </c>
      <c r="I32" s="625" t="n"/>
      <c r="J32" s="626" t="n"/>
      <c r="K32" s="624" t="n"/>
      <c r="M32" s="628" t="n"/>
      <c r="N32" s="626" t="n"/>
      <c r="O32" s="624" t="n"/>
      <c r="Q32" s="628" t="n">
        <v>45987</v>
      </c>
      <c r="R32" s="626" t="n"/>
      <c r="S32" s="627" t="n">
        <v>5250</v>
      </c>
    </row>
    <row r="33" ht="18.75" customHeight="1" s="562">
      <c r="A33" s="625" t="n">
        <v>45987</v>
      </c>
      <c r="B33" s="626" t="n"/>
      <c r="C33" s="639" t="n">
        <v>3200</v>
      </c>
      <c r="E33" s="625" t="n"/>
      <c r="F33" s="609" t="n"/>
      <c r="G33" s="640" t="n"/>
      <c r="I33" s="625" t="n"/>
      <c r="J33" s="626" t="n"/>
      <c r="K33" s="641" t="n"/>
      <c r="M33" s="628" t="n"/>
      <c r="N33" s="626" t="n"/>
      <c r="O33" s="641" t="n"/>
      <c r="Q33" s="628" t="n"/>
      <c r="R33" s="626" t="n"/>
      <c r="S33" s="639" t="n"/>
    </row>
    <row r="34" ht="18.75" customHeight="1" s="562">
      <c r="A34" s="622" t="n"/>
      <c r="B34" s="623" t="n"/>
      <c r="C34" s="631">
        <f>SUM(C29:C33)</f>
        <v/>
      </c>
      <c r="E34" s="620" t="n"/>
      <c r="F34" s="591" t="n"/>
      <c r="G34" s="642">
        <f>SUM(G29:G32)</f>
        <v/>
      </c>
      <c r="I34" s="622" t="n"/>
      <c r="J34" s="623" t="n"/>
      <c r="K34" s="631">
        <f>SUM(K29:K32)</f>
        <v/>
      </c>
      <c r="M34" s="622" t="n"/>
      <c r="N34" s="623" t="n"/>
      <c r="O34" s="631">
        <f>SUM(O29:O32)</f>
        <v/>
      </c>
      <c r="Q34" s="622" t="n"/>
      <c r="R34" s="623" t="n"/>
      <c r="S34" s="631">
        <f>SUM(S29:S32)</f>
        <v/>
      </c>
    </row>
    <row r="35" ht="18.75" customHeight="1" s="562">
      <c r="A35" s="633" t="inlineStr">
        <is>
          <t xml:space="preserve">Expenses </t>
        </is>
      </c>
      <c r="B35" s="617" t="n"/>
      <c r="C35" s="618" t="n"/>
      <c r="E35" s="632" t="inlineStr">
        <is>
          <t xml:space="preserve">Expenses </t>
        </is>
      </c>
      <c r="F35" s="617" t="n"/>
      <c r="G35" s="618" t="n"/>
      <c r="I35" s="643" t="inlineStr">
        <is>
          <t xml:space="preserve">Expenses </t>
        </is>
      </c>
      <c r="J35" s="617" t="n"/>
      <c r="K35" s="618" t="n"/>
      <c r="M35" s="643" t="inlineStr">
        <is>
          <t xml:space="preserve">Expenses </t>
        </is>
      </c>
      <c r="N35" s="617" t="n"/>
      <c r="O35" s="618" t="n"/>
      <c r="Q35" s="643" t="inlineStr">
        <is>
          <t xml:space="preserve">Expenses </t>
        </is>
      </c>
      <c r="R35" s="617" t="n"/>
      <c r="S35" s="618" t="n"/>
    </row>
    <row r="36" ht="18" customHeight="1" s="562">
      <c r="A36" s="622" t="inlineStr">
        <is>
          <t>Date:</t>
        </is>
      </c>
      <c r="B36" s="623" t="inlineStr">
        <is>
          <t xml:space="preserve">Expense Name </t>
        </is>
      </c>
      <c r="C36" s="624" t="inlineStr">
        <is>
          <t xml:space="preserve">Amount </t>
        </is>
      </c>
      <c r="E36" s="620" t="inlineStr">
        <is>
          <t>Date:</t>
        </is>
      </c>
      <c r="F36" s="591" t="inlineStr">
        <is>
          <t xml:space="preserve">Expense Name </t>
        </is>
      </c>
      <c r="G36" s="621" t="inlineStr">
        <is>
          <t xml:space="preserve">Amount </t>
        </is>
      </c>
      <c r="I36" s="622" t="inlineStr">
        <is>
          <t>Date:</t>
        </is>
      </c>
      <c r="J36" s="623" t="inlineStr">
        <is>
          <t xml:space="preserve">Expense Name </t>
        </is>
      </c>
      <c r="K36" s="624" t="inlineStr">
        <is>
          <t xml:space="preserve">Amount </t>
        </is>
      </c>
      <c r="M36" s="622" t="inlineStr">
        <is>
          <t>Date:</t>
        </is>
      </c>
      <c r="N36" s="623" t="inlineStr">
        <is>
          <t xml:space="preserve">Expense Name </t>
        </is>
      </c>
      <c r="O36" s="624" t="inlineStr">
        <is>
          <t xml:space="preserve">Amount </t>
        </is>
      </c>
      <c r="Q36" s="622" t="inlineStr">
        <is>
          <t>Date:</t>
        </is>
      </c>
      <c r="R36" s="623" t="inlineStr">
        <is>
          <t xml:space="preserve">Expense Name </t>
        </is>
      </c>
      <c r="S36" s="624" t="inlineStr">
        <is>
          <t xml:space="preserve">Amount </t>
        </is>
      </c>
    </row>
    <row r="37" ht="18" customHeight="1" s="562">
      <c r="A37" s="628" t="n">
        <v>45962</v>
      </c>
      <c r="B37" s="591" t="inlineStr">
        <is>
          <t>Merriam</t>
        </is>
      </c>
      <c r="C37" s="621" t="n">
        <v>4500</v>
      </c>
      <c r="E37" s="628" t="n">
        <v>45962</v>
      </c>
      <c r="F37" s="591" t="inlineStr">
        <is>
          <t>Siphilisiwe (Patrica)</t>
        </is>
      </c>
      <c r="G37" s="621" t="n">
        <v>8450</v>
      </c>
      <c r="I37" s="628" t="n">
        <v>45962</v>
      </c>
      <c r="J37" s="623" t="inlineStr">
        <is>
          <t>Sylvia Nene</t>
        </is>
      </c>
      <c r="K37" s="624" t="n">
        <v>7000</v>
      </c>
      <c r="M37" s="628" t="n">
        <v>45962</v>
      </c>
      <c r="N37" s="623" t="inlineStr">
        <is>
          <t>Chrsitina</t>
        </is>
      </c>
      <c r="O37" s="624" t="n">
        <v>6300</v>
      </c>
      <c r="Q37" s="628" t="n">
        <v>45962</v>
      </c>
      <c r="R37" s="623" t="inlineStr">
        <is>
          <t>Sophia</t>
        </is>
      </c>
      <c r="S37" s="624" t="n">
        <v>11250</v>
      </c>
    </row>
    <row r="38" ht="18" customHeight="1" s="562">
      <c r="A38" s="625" t="n">
        <v>45962</v>
      </c>
      <c r="B38" s="591" t="inlineStr">
        <is>
          <t xml:space="preserve">Jane </t>
        </is>
      </c>
      <c r="C38" s="621" t="n">
        <v>6300</v>
      </c>
      <c r="E38" s="628" t="n"/>
      <c r="G38" s="621" t="n"/>
      <c r="I38" s="628" t="n"/>
      <c r="J38" s="623" t="n"/>
      <c r="K38" s="624" t="n"/>
      <c r="M38" s="628" t="n"/>
      <c r="N38" s="623" t="n"/>
      <c r="O38" s="624" t="n"/>
      <c r="Q38" s="628" t="n"/>
      <c r="R38" s="623" t="n"/>
      <c r="S38" s="624" t="n"/>
    </row>
    <row r="39" ht="18" customHeight="1" s="562">
      <c r="A39" s="620" t="n"/>
      <c r="B39" s="591" t="n"/>
      <c r="C39" s="621" t="n"/>
      <c r="E39" s="628" t="n"/>
      <c r="F39" s="591" t="n"/>
      <c r="G39" s="621" t="n"/>
      <c r="I39" s="628" t="n"/>
      <c r="J39" s="623" t="n"/>
      <c r="K39" s="624" t="n"/>
      <c r="M39" s="628" t="n"/>
      <c r="N39" s="623" t="n"/>
      <c r="O39" s="624" t="n"/>
      <c r="Q39" s="628" t="n"/>
      <c r="R39" s="623" t="n"/>
      <c r="S39" s="624" t="n"/>
    </row>
    <row r="40" ht="18" customHeight="1" s="562">
      <c r="A40" s="620" t="n"/>
      <c r="B40" s="591" t="n"/>
      <c r="C40" s="621" t="n"/>
      <c r="E40" s="620" t="n"/>
      <c r="F40" s="591" t="n"/>
      <c r="G40" s="621" t="n"/>
      <c r="I40" s="622" t="n"/>
      <c r="J40" s="623" t="n"/>
      <c r="K40" s="624" t="n"/>
      <c r="M40" s="622" t="n"/>
      <c r="N40" s="623" t="n"/>
      <c r="O40" s="624" t="n"/>
      <c r="Q40" s="622" t="n"/>
      <c r="R40" s="623" t="n"/>
      <c r="S40" s="624" t="n"/>
    </row>
    <row r="41" ht="18" customHeight="1" s="562">
      <c r="A41" s="620" t="n"/>
      <c r="B41" s="591" t="n"/>
      <c r="C41" s="621" t="n"/>
      <c r="E41" s="620" t="n"/>
      <c r="F41" s="591" t="n"/>
      <c r="G41" s="621" t="n"/>
      <c r="I41" s="622" t="n"/>
      <c r="J41" s="623" t="n"/>
      <c r="K41" s="624" t="n"/>
      <c r="M41" s="622" t="n"/>
      <c r="N41" s="623" t="n"/>
      <c r="O41" s="624" t="n"/>
      <c r="Q41" s="622" t="n"/>
      <c r="R41" s="623" t="n"/>
      <c r="S41" s="624" t="n"/>
    </row>
    <row r="42" ht="18" customHeight="1" s="562">
      <c r="A42" s="620" t="n"/>
      <c r="B42" s="591" t="n"/>
      <c r="C42" s="621" t="n"/>
      <c r="E42" s="620" t="n"/>
      <c r="F42" s="591" t="n"/>
      <c r="G42" s="621" t="n"/>
      <c r="I42" s="622" t="n"/>
      <c r="J42" s="623" t="n"/>
      <c r="K42" s="624" t="n"/>
      <c r="M42" s="622" t="n"/>
      <c r="N42" s="623" t="n"/>
      <c r="O42" s="624" t="n"/>
      <c r="Q42" s="622" t="n"/>
      <c r="R42" s="623" t="n"/>
      <c r="S42" s="624" t="n"/>
    </row>
    <row r="43" ht="18" customHeight="1" s="562">
      <c r="A43" s="620" t="n"/>
      <c r="B43" s="591" t="n"/>
      <c r="C43" s="621" t="n"/>
      <c r="E43" s="620" t="n"/>
      <c r="F43" s="591" t="n"/>
      <c r="G43" s="621" t="n"/>
      <c r="I43" s="622" t="n"/>
      <c r="J43" s="623" t="n"/>
      <c r="K43" s="624" t="n"/>
      <c r="M43" s="622" t="n"/>
      <c r="N43" s="623" t="n"/>
      <c r="O43" s="624" t="n"/>
      <c r="Q43" s="622" t="n"/>
      <c r="R43" s="623" t="n"/>
      <c r="S43" s="624" t="n"/>
    </row>
    <row r="44" ht="18" customHeight="1" s="562">
      <c r="A44" s="620" t="n"/>
      <c r="B44" s="591" t="n"/>
      <c r="C44" s="621" t="n"/>
      <c r="E44" s="620" t="n"/>
      <c r="F44" s="591" t="n"/>
      <c r="G44" s="621" t="n"/>
      <c r="I44" s="622" t="n"/>
      <c r="J44" s="623" t="n"/>
      <c r="K44" s="624" t="n"/>
      <c r="M44" s="622" t="n"/>
      <c r="N44" s="623" t="n"/>
      <c r="O44" s="624" t="n"/>
      <c r="Q44" s="622" t="n"/>
      <c r="R44" s="623" t="n"/>
      <c r="S44" s="624" t="n"/>
    </row>
    <row r="45" ht="18" customHeight="1" s="562">
      <c r="A45" s="620" t="n"/>
      <c r="B45" s="591" t="n"/>
      <c r="C45" s="621" t="n"/>
      <c r="E45" s="620" t="n"/>
      <c r="F45" s="591" t="n"/>
      <c r="G45" s="621" t="n"/>
      <c r="I45" s="622" t="n"/>
      <c r="J45" s="623" t="n"/>
      <c r="K45" s="624" t="n"/>
      <c r="M45" s="622" t="n"/>
      <c r="N45" s="623" t="n"/>
      <c r="O45" s="624" t="n"/>
      <c r="Q45" s="622" t="n"/>
      <c r="R45" s="623" t="n"/>
      <c r="S45" s="624" t="n"/>
    </row>
    <row r="46" ht="18" customHeight="1" s="562">
      <c r="A46" s="620" t="n"/>
      <c r="B46" s="591" t="n"/>
      <c r="C46" s="621" t="n"/>
      <c r="E46" s="620" t="n"/>
      <c r="F46" s="591" t="n"/>
      <c r="G46" s="621" t="n"/>
      <c r="I46" s="622" t="n"/>
      <c r="J46" s="623" t="n"/>
      <c r="K46" s="624" t="n"/>
      <c r="M46" s="622" t="n"/>
      <c r="N46" s="623" t="n"/>
      <c r="O46" s="624" t="n"/>
      <c r="Q46" s="622" t="n"/>
      <c r="R46" s="623" t="n"/>
      <c r="S46" s="624" t="n"/>
    </row>
    <row r="47" ht="18" customHeight="1" s="562">
      <c r="A47" s="620" t="n"/>
      <c r="B47" s="591" t="n"/>
      <c r="C47" s="621" t="n"/>
      <c r="E47" s="620" t="n"/>
      <c r="F47" s="591" t="n"/>
      <c r="G47" s="621" t="n"/>
      <c r="I47" s="622" t="n"/>
      <c r="J47" s="623" t="n"/>
      <c r="K47" s="624" t="n"/>
      <c r="M47" s="622" t="n"/>
      <c r="N47" s="623" t="n"/>
      <c r="O47" s="624" t="n"/>
      <c r="Q47" s="622" t="n"/>
      <c r="R47" s="623" t="n"/>
      <c r="S47" s="624" t="n"/>
    </row>
    <row r="48" ht="18.75" customHeight="1" s="562">
      <c r="A48" s="620" t="n"/>
      <c r="B48" s="591" t="n"/>
      <c r="C48" s="621" t="n"/>
      <c r="E48" s="620" t="n"/>
      <c r="F48" s="591" t="n"/>
      <c r="G48" s="621" t="n"/>
      <c r="I48" s="622" t="n"/>
      <c r="J48" s="623" t="n"/>
      <c r="K48" s="624" t="n"/>
      <c r="M48" s="622" t="n"/>
      <c r="N48" s="623" t="n"/>
      <c r="O48" s="624" t="n"/>
      <c r="Q48" s="622" t="n"/>
      <c r="R48" s="623" t="n"/>
      <c r="S48" s="624" t="n"/>
    </row>
    <row r="49" ht="18.75" customHeight="1" s="562">
      <c r="A49" s="634" t="inlineStr">
        <is>
          <t xml:space="preserve">Total Expense </t>
        </is>
      </c>
      <c r="B49" s="617" t="n"/>
      <c r="C49" s="635">
        <f>SUM(C37:C48)</f>
        <v/>
      </c>
      <c r="E49" s="634" t="inlineStr">
        <is>
          <t xml:space="preserve">Total Expense </t>
        </is>
      </c>
      <c r="F49" s="617" t="n"/>
      <c r="G49" s="635">
        <f>SUM(G37:G48)</f>
        <v/>
      </c>
      <c r="I49" s="644" t="inlineStr">
        <is>
          <t xml:space="preserve">Total Expense </t>
        </is>
      </c>
      <c r="J49" s="637" t="n"/>
      <c r="K49" s="645">
        <f>SUM(K37:K48)</f>
        <v/>
      </c>
      <c r="M49" s="644" t="inlineStr">
        <is>
          <t xml:space="preserve">Total Expense </t>
        </is>
      </c>
      <c r="N49" s="637" t="n"/>
      <c r="O49" s="645">
        <f>SUM(O37:O48)</f>
        <v/>
      </c>
      <c r="Q49" s="644" t="inlineStr">
        <is>
          <t xml:space="preserve">Total Expense </t>
        </is>
      </c>
      <c r="R49" s="637" t="n"/>
      <c r="S49" s="645">
        <f>SUM(S37:S48)</f>
        <v/>
      </c>
    </row>
    <row r="50" ht="18.75" customHeight="1" s="562">
      <c r="A50" s="636" t="inlineStr">
        <is>
          <t xml:space="preserve">Income - Expense </t>
        </is>
      </c>
      <c r="B50" s="637" t="n"/>
      <c r="C50" s="638">
        <f>MIN(C34-C49)</f>
        <v/>
      </c>
      <c r="E50" s="636" t="inlineStr">
        <is>
          <t xml:space="preserve">Income - Expense </t>
        </is>
      </c>
      <c r="F50" s="637" t="n"/>
      <c r="G50" s="638">
        <f>MIN(G34-G49)</f>
        <v/>
      </c>
      <c r="I50" s="646" t="inlineStr">
        <is>
          <t xml:space="preserve">Income - Expense </t>
        </is>
      </c>
      <c r="J50" s="637" t="n"/>
      <c r="K50" s="647">
        <f>MIN(K34-K49)</f>
        <v/>
      </c>
      <c r="M50" s="646" t="inlineStr">
        <is>
          <t xml:space="preserve">Income - Expense </t>
        </is>
      </c>
      <c r="N50" s="637" t="n"/>
      <c r="O50" s="647">
        <f>MIN(O34-O49)</f>
        <v/>
      </c>
      <c r="Q50" s="646" t="inlineStr">
        <is>
          <t xml:space="preserve">Income - Expense </t>
        </is>
      </c>
      <c r="R50" s="637" t="n"/>
      <c r="S50" s="647">
        <f>MIN(S34-S49)</f>
        <v/>
      </c>
    </row>
    <row r="52" ht="18.75" customHeight="1" s="562">
      <c r="A52" s="615" t="inlineStr">
        <is>
          <t>Jacomina/Charl</t>
        </is>
      </c>
      <c r="B52" s="613" t="n"/>
      <c r="C52" s="614" t="n"/>
      <c r="E52" s="615" t="inlineStr">
        <is>
          <t>Herman/Rene</t>
        </is>
      </c>
      <c r="F52" s="613" t="n"/>
      <c r="G52" s="614" t="n"/>
      <c r="I52" s="615" t="inlineStr">
        <is>
          <t xml:space="preserve">Lorraine Hatton </t>
        </is>
      </c>
      <c r="J52" s="613" t="n"/>
      <c r="K52" s="614" t="n"/>
      <c r="M52" s="615" t="inlineStr">
        <is>
          <t xml:space="preserve">Johanna Van Heerden </t>
        </is>
      </c>
      <c r="N52" s="613" t="n"/>
      <c r="O52" s="614" t="n"/>
      <c r="Q52" s="615" t="inlineStr">
        <is>
          <t>Dirk Le Roux</t>
        </is>
      </c>
      <c r="R52" s="613" t="n"/>
      <c r="S52" s="614" t="n"/>
    </row>
    <row r="53" ht="18.75" customHeight="1" s="562">
      <c r="A53" s="619" t="inlineStr">
        <is>
          <t xml:space="preserve">Income </t>
        </is>
      </c>
      <c r="B53" s="617" t="n"/>
      <c r="C53" s="618" t="n"/>
      <c r="E53" s="619" t="inlineStr">
        <is>
          <t xml:space="preserve">Income </t>
        </is>
      </c>
      <c r="F53" s="617" t="n"/>
      <c r="G53" s="618" t="n"/>
      <c r="I53" s="619" t="inlineStr">
        <is>
          <t xml:space="preserve">Income </t>
        </is>
      </c>
      <c r="J53" s="617" t="n"/>
      <c r="K53" s="618" t="n"/>
      <c r="M53" s="619" t="inlineStr">
        <is>
          <t xml:space="preserve">Income </t>
        </is>
      </c>
      <c r="N53" s="617" t="n"/>
      <c r="O53" s="618" t="n"/>
      <c r="Q53" s="619" t="inlineStr">
        <is>
          <t xml:space="preserve">Income </t>
        </is>
      </c>
      <c r="R53" s="617" t="n"/>
      <c r="S53" s="618" t="n"/>
    </row>
    <row r="54" ht="18" customHeight="1" s="562">
      <c r="A54" s="622" t="inlineStr">
        <is>
          <t>Date:</t>
        </is>
      </c>
      <c r="B54" s="623" t="n"/>
      <c r="C54" s="624" t="inlineStr">
        <is>
          <t xml:space="preserve">Payment </t>
        </is>
      </c>
      <c r="E54" s="622" t="inlineStr">
        <is>
          <t>Date:</t>
        </is>
      </c>
      <c r="F54" s="623" t="n"/>
      <c r="G54" s="624" t="inlineStr">
        <is>
          <t xml:space="preserve">Payment </t>
        </is>
      </c>
      <c r="I54" s="622" t="inlineStr">
        <is>
          <t>Date:</t>
        </is>
      </c>
      <c r="J54" s="623" t="n"/>
      <c r="K54" s="624" t="inlineStr">
        <is>
          <t xml:space="preserve">Payment </t>
        </is>
      </c>
      <c r="M54" s="622" t="inlineStr">
        <is>
          <t>Date:</t>
        </is>
      </c>
      <c r="N54" s="623" t="n"/>
      <c r="O54" s="624" t="inlineStr">
        <is>
          <t xml:space="preserve">Payment </t>
        </is>
      </c>
      <c r="Q54" s="622" t="inlineStr">
        <is>
          <t>Date:</t>
        </is>
      </c>
      <c r="R54" s="623" t="n"/>
      <c r="S54" s="624" t="inlineStr">
        <is>
          <t xml:space="preserve">Payment </t>
        </is>
      </c>
    </row>
    <row r="55" ht="18" customHeight="1" s="562">
      <c r="A55" s="628" t="n">
        <v>45962</v>
      </c>
      <c r="B55" s="626" t="n"/>
      <c r="C55" s="627" t="n">
        <v>3800</v>
      </c>
      <c r="E55" s="628" t="n">
        <v>45966</v>
      </c>
      <c r="F55" s="626" t="n"/>
      <c r="G55" s="627" t="n">
        <v>1700</v>
      </c>
      <c r="I55" s="628" t="n">
        <v>45977</v>
      </c>
      <c r="J55" s="626" t="n"/>
      <c r="K55" s="627" t="n">
        <v>850</v>
      </c>
      <c r="M55" s="628" t="n">
        <v>45985</v>
      </c>
      <c r="N55" s="626" t="n"/>
      <c r="O55" s="627" t="n">
        <v>4500</v>
      </c>
      <c r="Q55" s="628" t="n">
        <v>45992</v>
      </c>
      <c r="R55" s="626" t="n"/>
      <c r="S55" s="627" t="n">
        <v>3000</v>
      </c>
    </row>
    <row r="56" ht="18" customHeight="1" s="562">
      <c r="A56" s="628" t="n"/>
      <c r="B56" s="626" t="n"/>
      <c r="C56" s="624" t="n"/>
      <c r="E56" s="628" t="n">
        <v>45968</v>
      </c>
      <c r="G56" s="627" t="n">
        <v>2550</v>
      </c>
      <c r="I56" s="628" t="n">
        <v>45978</v>
      </c>
      <c r="K56" s="627" t="n">
        <v>850</v>
      </c>
      <c r="M56" s="628" t="n"/>
      <c r="O56" s="624" t="n"/>
      <c r="Q56" s="628" t="n"/>
      <c r="R56" s="626" t="n"/>
      <c r="S56" s="627" t="n"/>
    </row>
    <row r="57" ht="18.75" customHeight="1" s="562">
      <c r="A57" s="628" t="n"/>
      <c r="B57" s="626" t="n"/>
      <c r="C57" s="624" t="n"/>
      <c r="E57" s="628" t="n"/>
      <c r="F57" s="626" t="n"/>
      <c r="G57" s="624" t="n"/>
      <c r="I57" s="628" t="n"/>
      <c r="J57" s="626" t="n"/>
      <c r="K57" s="624" t="n"/>
      <c r="M57" s="628" t="n"/>
      <c r="N57" s="626" t="n"/>
      <c r="O57" s="624" t="n"/>
      <c r="Q57" s="628" t="n"/>
      <c r="R57" s="626" t="n"/>
      <c r="S57" s="624" t="n"/>
    </row>
    <row r="58" ht="18.75" customHeight="1" s="562">
      <c r="A58" s="622" t="n"/>
      <c r="B58" s="623" t="n"/>
      <c r="C58" s="631">
        <f>SUM(C55:C57)</f>
        <v/>
      </c>
      <c r="E58" s="622" t="n"/>
      <c r="F58" s="623" t="n"/>
      <c r="G58" s="631">
        <f>SUM(G55:G57)</f>
        <v/>
      </c>
      <c r="I58" s="622" t="n"/>
      <c r="J58" s="623" t="n"/>
      <c r="K58" s="631">
        <f>SUM(K55:K57)</f>
        <v/>
      </c>
      <c r="M58" s="622" t="n"/>
      <c r="N58" s="623" t="n"/>
      <c r="O58" s="631">
        <f>SUM(O55:O57)</f>
        <v/>
      </c>
      <c r="Q58" s="628" t="n"/>
      <c r="R58" s="626" t="n"/>
      <c r="S58" s="624" t="n"/>
    </row>
    <row r="59" ht="18.75" customHeight="1" s="562">
      <c r="A59" s="643" t="inlineStr">
        <is>
          <t xml:space="preserve">Expenses </t>
        </is>
      </c>
      <c r="B59" s="617" t="n"/>
      <c r="C59" s="618" t="n"/>
      <c r="E59" s="643" t="inlineStr">
        <is>
          <t xml:space="preserve">Expenses </t>
        </is>
      </c>
      <c r="F59" s="617" t="n"/>
      <c r="G59" s="618" t="n"/>
      <c r="I59" s="643" t="inlineStr">
        <is>
          <t xml:space="preserve">Expenses </t>
        </is>
      </c>
      <c r="J59" s="617" t="n"/>
      <c r="K59" s="618" t="n"/>
      <c r="M59" s="643" t="inlineStr">
        <is>
          <t xml:space="preserve">Expenses </t>
        </is>
      </c>
      <c r="N59" s="617" t="n"/>
      <c r="O59" s="618" t="n"/>
      <c r="Q59" s="622" t="n"/>
      <c r="R59" s="623" t="n"/>
      <c r="S59" s="631">
        <f>SUM(S55:S58)</f>
        <v/>
      </c>
    </row>
    <row r="60" ht="18.75" customHeight="1" s="562">
      <c r="A60" s="622" t="inlineStr">
        <is>
          <t>Date:</t>
        </is>
      </c>
      <c r="B60" s="623" t="inlineStr">
        <is>
          <t xml:space="preserve">Expense Name </t>
        </is>
      </c>
      <c r="C60" s="624" t="inlineStr">
        <is>
          <t xml:space="preserve">Amount </t>
        </is>
      </c>
      <c r="E60" s="622" t="inlineStr">
        <is>
          <t>Date:</t>
        </is>
      </c>
      <c r="F60" s="623" t="inlineStr">
        <is>
          <t xml:space="preserve">Expense Name </t>
        </is>
      </c>
      <c r="G60" s="624" t="inlineStr">
        <is>
          <t xml:space="preserve">Amount </t>
        </is>
      </c>
      <c r="I60" s="622" t="inlineStr">
        <is>
          <t>Date:</t>
        </is>
      </c>
      <c r="J60" s="623" t="inlineStr">
        <is>
          <t xml:space="preserve">Expense Name </t>
        </is>
      </c>
      <c r="K60" s="624" t="inlineStr">
        <is>
          <t xml:space="preserve">Amount </t>
        </is>
      </c>
      <c r="M60" s="622" t="inlineStr">
        <is>
          <t>Date:</t>
        </is>
      </c>
      <c r="N60" s="623" t="inlineStr">
        <is>
          <t xml:space="preserve">Expense Name </t>
        </is>
      </c>
      <c r="O60" s="624" t="inlineStr">
        <is>
          <t xml:space="preserve">Amount </t>
        </is>
      </c>
      <c r="Q60" s="643" t="inlineStr">
        <is>
          <t xml:space="preserve">Expenses </t>
        </is>
      </c>
      <c r="R60" s="617" t="n"/>
      <c r="S60" s="618" t="n"/>
    </row>
    <row r="61" ht="18" customHeight="1" s="562">
      <c r="A61" s="628" t="n">
        <v>45962</v>
      </c>
      <c r="B61" s="623" t="inlineStr">
        <is>
          <t>Refileo</t>
        </is>
      </c>
      <c r="C61" s="624" t="n">
        <v>4050</v>
      </c>
      <c r="E61" s="628" t="n">
        <v>45962</v>
      </c>
      <c r="F61" s="623" t="inlineStr">
        <is>
          <t>Joyce</t>
        </is>
      </c>
      <c r="G61" s="624" t="n">
        <v>2250</v>
      </c>
      <c r="I61" s="628" t="n">
        <v>45962</v>
      </c>
      <c r="J61" s="623" t="inlineStr">
        <is>
          <t>Sylvia Mutavhatsindi</t>
        </is>
      </c>
      <c r="K61" s="624" t="n">
        <v>750</v>
      </c>
      <c r="M61" s="628" t="n">
        <v>45962</v>
      </c>
      <c r="N61" s="623" t="inlineStr">
        <is>
          <t xml:space="preserve">Christina </t>
        </is>
      </c>
      <c r="O61" s="624" t="n">
        <v>2700</v>
      </c>
      <c r="Q61" s="622" t="inlineStr">
        <is>
          <t>Date:</t>
        </is>
      </c>
      <c r="R61" s="623" t="inlineStr">
        <is>
          <t xml:space="preserve">Expense Name </t>
        </is>
      </c>
      <c r="S61" s="624" t="inlineStr">
        <is>
          <t xml:space="preserve">Amount </t>
        </is>
      </c>
    </row>
    <row r="62" ht="18" customHeight="1" s="562">
      <c r="A62" s="628" t="n">
        <v>45962</v>
      </c>
      <c r="B62" s="623" t="inlineStr">
        <is>
          <t>Susan</t>
        </is>
      </c>
      <c r="C62" s="624" t="n">
        <v>5850</v>
      </c>
      <c r="E62" s="628" t="n"/>
      <c r="F62" s="623" t="n"/>
      <c r="G62" s="624" t="n"/>
      <c r="I62" s="628" t="n"/>
      <c r="J62" s="623" t="n"/>
      <c r="K62" s="624" t="n"/>
      <c r="M62" s="628" t="n"/>
      <c r="N62" s="623" t="n"/>
      <c r="O62" s="624" t="n"/>
      <c r="Q62" s="625" t="n">
        <v>45992</v>
      </c>
      <c r="R62" s="623" t="n"/>
      <c r="S62" s="624" t="n"/>
    </row>
    <row r="63" ht="18" customHeight="1" s="562">
      <c r="A63" s="628" t="n"/>
      <c r="B63" s="623" t="n"/>
      <c r="C63" s="624" t="n"/>
      <c r="E63" s="628" t="n"/>
      <c r="F63" s="623" t="n"/>
      <c r="G63" s="624" t="n"/>
      <c r="I63" s="628" t="n"/>
      <c r="J63" s="623" t="n"/>
      <c r="K63" s="624" t="n"/>
      <c r="M63" s="628" t="n"/>
      <c r="N63" s="623" t="n"/>
      <c r="O63" s="624" t="n"/>
      <c r="Q63" s="628" t="n"/>
      <c r="R63" s="623" t="n"/>
      <c r="S63" s="624" t="n"/>
    </row>
    <row r="64" ht="18" customHeight="1" s="562">
      <c r="A64" s="622" t="n"/>
      <c r="B64" s="623" t="n"/>
      <c r="C64" s="624" t="n"/>
      <c r="E64" s="622" t="n"/>
      <c r="F64" s="623" t="n"/>
      <c r="G64" s="624" t="n"/>
      <c r="I64" s="622" t="n"/>
      <c r="J64" s="623" t="n"/>
      <c r="K64" s="624" t="n"/>
      <c r="M64" s="622" t="n"/>
      <c r="N64" s="623" t="n"/>
      <c r="O64" s="624" t="n"/>
      <c r="Q64" s="628" t="n"/>
      <c r="R64" s="623" t="n"/>
      <c r="S64" s="624" t="n"/>
    </row>
    <row r="65" ht="18" customHeight="1" s="562">
      <c r="A65" s="622" t="n"/>
      <c r="B65" s="623" t="n"/>
      <c r="C65" s="624" t="n"/>
      <c r="E65" s="622" t="n"/>
      <c r="F65" s="623" t="n"/>
      <c r="G65" s="624" t="n"/>
      <c r="I65" s="622" t="n"/>
      <c r="J65" s="623" t="n"/>
      <c r="K65" s="624" t="n"/>
      <c r="M65" s="622" t="n"/>
      <c r="N65" s="623" t="n"/>
      <c r="O65" s="624" t="n"/>
      <c r="Q65" s="622" t="n"/>
      <c r="R65" s="623" t="n"/>
      <c r="S65" s="624" t="n"/>
    </row>
    <row r="66" ht="18" customHeight="1" s="562">
      <c r="A66" s="622" t="n"/>
      <c r="B66" s="623" t="n"/>
      <c r="C66" s="624" t="n"/>
      <c r="E66" s="622" t="n"/>
      <c r="F66" s="623" t="n"/>
      <c r="G66" s="624" t="n"/>
      <c r="I66" s="622" t="n"/>
      <c r="J66" s="623" t="n"/>
      <c r="K66" s="624" t="n"/>
      <c r="M66" s="622" t="n"/>
      <c r="N66" s="623" t="n"/>
      <c r="O66" s="624" t="n"/>
      <c r="Q66" s="622" t="n"/>
      <c r="R66" s="623" t="n"/>
      <c r="S66" s="624" t="n"/>
    </row>
    <row r="67" ht="18" customHeight="1" s="562">
      <c r="A67" s="622" t="n"/>
      <c r="B67" s="623" t="n"/>
      <c r="C67" s="624" t="n"/>
      <c r="E67" s="622" t="n"/>
      <c r="F67" s="623" t="n"/>
      <c r="G67" s="624" t="n"/>
      <c r="I67" s="622" t="n"/>
      <c r="J67" s="623" t="n"/>
      <c r="K67" s="624" t="n"/>
      <c r="M67" s="622" t="n"/>
      <c r="N67" s="623" t="n"/>
      <c r="O67" s="624" t="n"/>
      <c r="Q67" s="622" t="n"/>
      <c r="R67" s="623" t="n"/>
      <c r="S67" s="624" t="n"/>
    </row>
    <row r="68" ht="18" customHeight="1" s="562">
      <c r="A68" s="622" t="n"/>
      <c r="B68" s="623" t="n"/>
      <c r="C68" s="624" t="n"/>
      <c r="E68" s="622" t="n"/>
      <c r="F68" s="623" t="n"/>
      <c r="G68" s="624" t="n"/>
      <c r="I68" s="622" t="n"/>
      <c r="J68" s="623" t="n"/>
      <c r="K68" s="624" t="n"/>
      <c r="M68" s="622" t="n"/>
      <c r="N68" s="623" t="n"/>
      <c r="O68" s="624" t="n"/>
      <c r="Q68" s="622" t="n"/>
      <c r="R68" s="623" t="n"/>
      <c r="S68" s="624" t="n"/>
    </row>
    <row r="69" ht="18" customHeight="1" s="562">
      <c r="A69" s="622" t="n"/>
      <c r="B69" s="623" t="n"/>
      <c r="C69" s="624" t="n"/>
      <c r="E69" s="622" t="n"/>
      <c r="F69" s="623" t="n"/>
      <c r="G69" s="624" t="n"/>
      <c r="I69" s="622" t="n"/>
      <c r="J69" s="623" t="n"/>
      <c r="K69" s="624" t="n"/>
      <c r="M69" s="622" t="n"/>
      <c r="N69" s="623" t="n"/>
      <c r="O69" s="624" t="n"/>
      <c r="Q69" s="622" t="n"/>
      <c r="R69" s="623" t="n"/>
      <c r="S69" s="624" t="n"/>
    </row>
    <row r="70" ht="18" customHeight="1" s="562">
      <c r="A70" s="622" t="n"/>
      <c r="B70" s="623" t="n"/>
      <c r="C70" s="624" t="n"/>
      <c r="E70" s="622" t="n"/>
      <c r="F70" s="623" t="n"/>
      <c r="G70" s="624" t="n"/>
      <c r="I70" s="622" t="n"/>
      <c r="J70" s="623" t="n"/>
      <c r="K70" s="624" t="n"/>
      <c r="M70" s="622" t="n"/>
      <c r="N70" s="623" t="n"/>
      <c r="O70" s="624" t="n"/>
      <c r="Q70" s="622" t="n"/>
      <c r="R70" s="623" t="n"/>
      <c r="S70" s="624" t="n"/>
    </row>
    <row r="71" ht="18" customHeight="1" s="562">
      <c r="A71" s="622" t="n"/>
      <c r="B71" s="623" t="n"/>
      <c r="C71" s="624" t="n"/>
      <c r="E71" s="622" t="n"/>
      <c r="F71" s="623" t="n"/>
      <c r="G71" s="624" t="n"/>
      <c r="I71" s="622" t="n"/>
      <c r="J71" s="623" t="n"/>
      <c r="K71" s="624" t="n"/>
      <c r="M71" s="622" t="n"/>
      <c r="N71" s="623" t="n"/>
      <c r="O71" s="624" t="n"/>
      <c r="Q71" s="622" t="n"/>
      <c r="R71" s="623" t="n"/>
      <c r="S71" s="624" t="n"/>
    </row>
    <row r="72" ht="18.75" customHeight="1" s="562">
      <c r="A72" s="622" t="n"/>
      <c r="B72" s="623" t="n"/>
      <c r="C72" s="624" t="n"/>
      <c r="E72" s="622" t="n"/>
      <c r="F72" s="623" t="n"/>
      <c r="G72" s="624" t="n"/>
      <c r="I72" s="622" t="n"/>
      <c r="J72" s="623" t="n"/>
      <c r="K72" s="624" t="n"/>
      <c r="M72" s="622" t="n"/>
      <c r="N72" s="623" t="n"/>
      <c r="O72" s="624" t="n"/>
      <c r="Q72" s="622" t="n"/>
      <c r="R72" s="623" t="n"/>
      <c r="S72" s="624" t="n"/>
    </row>
    <row r="73" ht="18.75" customHeight="1" s="562">
      <c r="A73" s="644" t="inlineStr">
        <is>
          <t xml:space="preserve">Total Expense </t>
        </is>
      </c>
      <c r="B73" s="637" t="n"/>
      <c r="C73" s="645">
        <f>SUM(C61:C72)</f>
        <v/>
      </c>
      <c r="E73" s="644" t="inlineStr">
        <is>
          <t xml:space="preserve">Total Expense </t>
        </is>
      </c>
      <c r="F73" s="637" t="n"/>
      <c r="G73" s="645">
        <f>SUM(G61:G72)</f>
        <v/>
      </c>
      <c r="I73" s="644" t="inlineStr">
        <is>
          <t xml:space="preserve">Total Expense </t>
        </is>
      </c>
      <c r="J73" s="637" t="n"/>
      <c r="K73" s="645">
        <f>SUM(K61:K72)</f>
        <v/>
      </c>
      <c r="M73" s="644" t="inlineStr">
        <is>
          <t xml:space="preserve">Total Expense </t>
        </is>
      </c>
      <c r="N73" s="637" t="n"/>
      <c r="O73" s="645">
        <f>SUM(O61:O72)</f>
        <v/>
      </c>
      <c r="Q73" s="622" t="n"/>
      <c r="R73" s="623" t="n"/>
      <c r="S73" s="624" t="n"/>
    </row>
    <row r="74" ht="18.75" customHeight="1" s="562">
      <c r="A74" s="646" t="inlineStr">
        <is>
          <t xml:space="preserve">Income - Expense </t>
        </is>
      </c>
      <c r="B74" s="637" t="n"/>
      <c r="C74" s="647">
        <f>MIN(C58-C73)</f>
        <v/>
      </c>
      <c r="E74" s="646" t="inlineStr">
        <is>
          <t xml:space="preserve">Income - Expense </t>
        </is>
      </c>
      <c r="F74" s="637" t="n"/>
      <c r="G74" s="647">
        <f>MIN(G58-G73)</f>
        <v/>
      </c>
      <c r="I74" s="646" t="inlineStr">
        <is>
          <t xml:space="preserve">Income - Expense </t>
        </is>
      </c>
      <c r="J74" s="637" t="n"/>
      <c r="K74" s="647">
        <f>MIN(K58-K73)</f>
        <v/>
      </c>
      <c r="M74" s="646" t="inlineStr">
        <is>
          <t xml:space="preserve">Income - Expense </t>
        </is>
      </c>
      <c r="N74" s="637" t="n"/>
      <c r="O74" s="647">
        <f>MIN(O58-O73)</f>
        <v/>
      </c>
      <c r="Q74" s="644" t="inlineStr">
        <is>
          <t xml:space="preserve">Total Expense </t>
        </is>
      </c>
      <c r="R74" s="637" t="n"/>
      <c r="S74" s="645" t="n"/>
    </row>
    <row r="75" ht="18.75" customHeight="1" s="562">
      <c r="Q75" s="646" t="inlineStr">
        <is>
          <t xml:space="preserve">Income - Expense </t>
        </is>
      </c>
      <c r="R75" s="637" t="n"/>
      <c r="S75" s="647" t="n"/>
    </row>
    <row r="76" ht="18.75" customHeight="1" s="562">
      <c r="A76" s="615" t="inlineStr">
        <is>
          <t>Mia Rus</t>
        </is>
      </c>
      <c r="B76" s="613" t="n"/>
      <c r="C76" s="614" t="n"/>
    </row>
    <row r="77" ht="18.75" customHeight="1" s="562">
      <c r="A77" s="619" t="inlineStr">
        <is>
          <t xml:space="preserve">Income </t>
        </is>
      </c>
      <c r="B77" s="617" t="n"/>
      <c r="C77" s="618" t="n"/>
    </row>
    <row r="78" ht="18" customHeight="1" s="562">
      <c r="A78" s="622" t="inlineStr">
        <is>
          <t>Date:</t>
        </is>
      </c>
      <c r="B78" s="623" t="n"/>
      <c r="C78" s="624" t="inlineStr">
        <is>
          <t xml:space="preserve">Payment </t>
        </is>
      </c>
    </row>
    <row r="79" ht="18" customHeight="1" s="562">
      <c r="A79" s="628" t="n">
        <v>45992</v>
      </c>
      <c r="B79" s="626" t="n"/>
      <c r="C79" s="627" t="n">
        <v>12800</v>
      </c>
    </row>
    <row r="80" ht="18" customHeight="1" s="562">
      <c r="A80" s="628" t="n"/>
      <c r="C80" s="627" t="n"/>
    </row>
    <row r="81" ht="18.75" customHeight="1" s="562">
      <c r="A81" s="628" t="n"/>
      <c r="B81" s="626" t="n"/>
      <c r="C81" s="624" t="n"/>
    </row>
    <row r="82" ht="18.75" customHeight="1" s="562">
      <c r="A82" s="622" t="n"/>
      <c r="B82" s="623" t="n"/>
      <c r="C82" s="631">
        <f>SUM(C79:C81)</f>
        <v/>
      </c>
    </row>
    <row r="83" ht="18.75" customHeight="1" s="562">
      <c r="A83" s="643" t="inlineStr">
        <is>
          <t xml:space="preserve">Expenses </t>
        </is>
      </c>
      <c r="B83" s="617" t="n"/>
      <c r="C83" s="618" t="n"/>
    </row>
    <row r="84" ht="18" customHeight="1" s="562">
      <c r="A84" s="622" t="inlineStr">
        <is>
          <t>Date:</t>
        </is>
      </c>
      <c r="B84" s="623" t="inlineStr">
        <is>
          <t xml:space="preserve">Expense Name </t>
        </is>
      </c>
      <c r="C84" s="624" t="inlineStr">
        <is>
          <t xml:space="preserve">Amount </t>
        </is>
      </c>
    </row>
    <row r="85" ht="18" customHeight="1" s="562">
      <c r="A85" s="625" t="n">
        <v>45992</v>
      </c>
      <c r="B85" s="623" t="n"/>
      <c r="C85" s="624" t="n"/>
    </row>
    <row r="86" ht="18" customHeight="1" s="562">
      <c r="A86" s="628" t="n"/>
      <c r="B86" s="623" t="n"/>
      <c r="C86" s="624" t="n"/>
    </row>
    <row r="87" ht="18" customHeight="1" s="562">
      <c r="A87" s="628" t="n"/>
      <c r="B87" s="623" t="n"/>
      <c r="C87" s="624" t="n"/>
    </row>
    <row r="88" ht="18" customHeight="1" s="562">
      <c r="A88" s="622" t="n"/>
      <c r="B88" s="623" t="n"/>
      <c r="C88" s="624" t="n"/>
    </row>
    <row r="89" ht="18" customHeight="1" s="562">
      <c r="A89" s="622" t="n"/>
      <c r="B89" s="623" t="n"/>
      <c r="C89" s="624" t="n"/>
    </row>
    <row r="90" ht="18" customHeight="1" s="562">
      <c r="A90" s="622" t="n"/>
      <c r="B90" s="623" t="n"/>
      <c r="C90" s="624" t="n"/>
    </row>
    <row r="91" ht="18" customHeight="1" s="562">
      <c r="A91" s="622" t="n"/>
      <c r="B91" s="623" t="n"/>
      <c r="C91" s="624" t="n"/>
    </row>
    <row r="92" ht="18" customHeight="1" s="562">
      <c r="A92" s="622" t="n"/>
      <c r="B92" s="623" t="n"/>
      <c r="C92" s="624" t="n"/>
    </row>
    <row r="93" ht="18" customHeight="1" s="562">
      <c r="A93" s="622" t="n"/>
      <c r="B93" s="623" t="n"/>
      <c r="C93" s="624" t="n"/>
    </row>
    <row r="94" ht="18" customHeight="1" s="562">
      <c r="A94" s="622" t="n"/>
      <c r="B94" s="623" t="n"/>
      <c r="C94" s="624" t="n"/>
    </row>
    <row r="95" ht="18" customHeight="1" s="562">
      <c r="A95" s="622" t="n"/>
      <c r="B95" s="623" t="n"/>
      <c r="C95" s="624" t="n"/>
    </row>
    <row r="96" ht="18.75" customHeight="1" s="562">
      <c r="A96" s="622" t="n"/>
      <c r="B96" s="623" t="n"/>
      <c r="C96" s="624" t="n"/>
    </row>
    <row r="97" ht="18.75" customHeight="1" s="562">
      <c r="A97" s="644" t="inlineStr">
        <is>
          <t xml:space="preserve">Total Expense </t>
        </is>
      </c>
      <c r="B97" s="637" t="n"/>
      <c r="C97" s="645" t="n"/>
    </row>
    <row r="98" ht="18.75" customHeight="1" s="562">
      <c r="A98" s="646" t="inlineStr">
        <is>
          <t xml:space="preserve">Income - Expense </t>
        </is>
      </c>
      <c r="B98" s="637" t="n"/>
      <c r="C98" s="647" t="n"/>
    </row>
    <row r="103" ht="16.5" customHeight="1" s="562"/>
    <row r="104" ht="24.75" customHeight="1" s="562">
      <c r="A104" s="648" t="inlineStr">
        <is>
          <t xml:space="preserve">Total from Clients </t>
        </is>
      </c>
      <c r="B104" s="649">
        <f>SUM(C8+G8+K8+O8+S8+C34+G34+K34+O34+S34+C58+G58+K58+O58+S59+C79)</f>
        <v/>
      </c>
    </row>
  </sheetData>
  <mergeCells count="80">
    <mergeCell ref="A98:B98"/>
    <mergeCell ref="A73:B73"/>
    <mergeCell ref="E23:F23"/>
    <mergeCell ref="A26:C26"/>
    <mergeCell ref="E73:F73"/>
    <mergeCell ref="E26:G26"/>
    <mergeCell ref="A74:B74"/>
    <mergeCell ref="M74:N74"/>
    <mergeCell ref="A52:C52"/>
    <mergeCell ref="I59:K59"/>
    <mergeCell ref="E49:F49"/>
    <mergeCell ref="M53:O53"/>
    <mergeCell ref="Q74:R74"/>
    <mergeCell ref="Q49:R49"/>
    <mergeCell ref="A77:C77"/>
    <mergeCell ref="A83:C83"/>
    <mergeCell ref="I2:K2"/>
    <mergeCell ref="M52:O52"/>
    <mergeCell ref="M9:O9"/>
    <mergeCell ref="E35:G35"/>
    <mergeCell ref="M50:N50"/>
    <mergeCell ref="Q75:R75"/>
    <mergeCell ref="M2:O2"/>
    <mergeCell ref="Q60:S60"/>
    <mergeCell ref="E59:G59"/>
    <mergeCell ref="M73:N73"/>
    <mergeCell ref="Q23:R23"/>
    <mergeCell ref="I1:K1"/>
    <mergeCell ref="M26:O26"/>
    <mergeCell ref="I24:J24"/>
    <mergeCell ref="M24:N24"/>
    <mergeCell ref="I27:K27"/>
    <mergeCell ref="M35:O35"/>
    <mergeCell ref="I74:J74"/>
    <mergeCell ref="E1:G1"/>
    <mergeCell ref="E50:F50"/>
    <mergeCell ref="A49:B49"/>
    <mergeCell ref="Q35:S35"/>
    <mergeCell ref="I53:K53"/>
    <mergeCell ref="E9:G9"/>
    <mergeCell ref="M49:N49"/>
    <mergeCell ref="A2:C2"/>
    <mergeCell ref="E2:G2"/>
    <mergeCell ref="I52:K52"/>
    <mergeCell ref="Q27:S27"/>
    <mergeCell ref="I23:J23"/>
    <mergeCell ref="A23:B23"/>
    <mergeCell ref="A59:C59"/>
    <mergeCell ref="M59:O59"/>
    <mergeCell ref="I73:J73"/>
    <mergeCell ref="M23:N23"/>
    <mergeCell ref="I26:K26"/>
    <mergeCell ref="I50:J50"/>
    <mergeCell ref="A24:B24"/>
    <mergeCell ref="E24:F24"/>
    <mergeCell ref="I49:J49"/>
    <mergeCell ref="Q26:S26"/>
    <mergeCell ref="Q24:R24"/>
    <mergeCell ref="A27:C27"/>
    <mergeCell ref="Q1:S1"/>
    <mergeCell ref="A76:C76"/>
    <mergeCell ref="M27:O27"/>
    <mergeCell ref="E27:G27"/>
    <mergeCell ref="Q9:S9"/>
    <mergeCell ref="I35:K35"/>
    <mergeCell ref="Q50:R50"/>
    <mergeCell ref="A53:C53"/>
    <mergeCell ref="A35:C35"/>
    <mergeCell ref="E74:F74"/>
    <mergeCell ref="Q2:S2"/>
    <mergeCell ref="A50:B50"/>
    <mergeCell ref="E53:G53"/>
    <mergeCell ref="I9:K9"/>
    <mergeCell ref="A9:C9"/>
    <mergeCell ref="Q53:S53"/>
    <mergeCell ref="A97:B97"/>
    <mergeCell ref="E52:G52"/>
    <mergeCell ref="A1:C1"/>
    <mergeCell ref="Q52:S52"/>
    <mergeCell ref="M1:O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O71"/>
  <sheetViews>
    <sheetView showFormulas="0" showGridLines="1" showRowColHeaders="1" showZeros="1" rightToLeft="0" tabSelected="0" showOutlineSymbols="1" defaultGridColor="1" view="normal" topLeftCell="A1" colorId="64" zoomScale="94" zoomScaleNormal="94" zoomScalePageLayoutView="100" workbookViewId="0">
      <pane xSplit="2" ySplit="2" topLeftCell="Q23" activePane="bottomRight" state="frozen"/>
      <selection pane="topLeft" activeCell="A1" activeCellId="0" sqref="A1"/>
      <selection pane="topRight" activeCell="Q1" activeCellId="0" sqref="Q1"/>
      <selection pane="bottomLeft" activeCell="A23" activeCellId="0" sqref="A23"/>
      <selection pane="bottomRight" activeCell="M36" activeCellId="0" sqref="M36"/>
    </sheetView>
  </sheetViews>
  <sheetFormatPr baseColWidth="8" defaultColWidth="10.4921875" defaultRowHeight="15.75" customHeight="0" zeroHeight="0" outlineLevelRow="0"/>
  <cols>
    <col width="21.16" customWidth="1" style="650" min="1" max="1"/>
    <col width="18.83" customWidth="1" style="650" min="2" max="2"/>
    <col width="29.83" customWidth="1" style="561" min="3" max="3"/>
    <col width="18.5" customWidth="1" style="650" min="4" max="4"/>
    <col width="29.83" customWidth="1" style="650" min="5" max="5"/>
    <col width="20" customWidth="1" style="650" min="6" max="6"/>
    <col width="25" customWidth="1" style="650" min="7" max="7"/>
    <col width="16.33" customWidth="1" style="561" min="8" max="8"/>
    <col width="26.33" customWidth="1" style="561" min="9" max="9"/>
    <col width="18" customWidth="1" style="561" min="10" max="10"/>
    <col width="18.83" customWidth="1" style="561" min="11" max="11"/>
    <col width="25" customWidth="1" style="561" min="12" max="12"/>
    <col width="22.16" customWidth="1" style="561" min="13" max="13"/>
    <col width="24.67" customWidth="1" style="561" min="14" max="14"/>
    <col width="34.5" customWidth="1" style="561" min="15" max="15"/>
    <col width="17" customWidth="1" style="561" min="16" max="16"/>
    <col width="41" customWidth="1" style="561" min="17" max="17"/>
    <col width="36.33" customWidth="1" style="561" min="18" max="18"/>
    <col width="25.5" customWidth="1" style="561" min="19" max="19"/>
    <col width="41.16" customWidth="1" style="561" min="20" max="20"/>
    <col width="36.67" customWidth="1" style="561" min="21" max="21"/>
  </cols>
  <sheetData>
    <row r="1" ht="22.5" customFormat="1" customHeight="1" s="651">
      <c r="A1" s="652" t="n"/>
      <c r="B1" s="653" t="n"/>
      <c r="C1" s="654" t="inlineStr">
        <is>
          <t>Linda Rapuluchukwa</t>
        </is>
      </c>
      <c r="D1" s="654" t="inlineStr">
        <is>
          <t>Sophie Koga</t>
        </is>
      </c>
      <c r="E1" s="654" t="inlineStr">
        <is>
          <t>Joyce Mutambiranwa</t>
        </is>
      </c>
      <c r="F1" s="654" t="inlineStr">
        <is>
          <t>Emily Mentula</t>
        </is>
      </c>
      <c r="G1" s="654" t="inlineStr">
        <is>
          <t>Cynthia Makondo</t>
        </is>
      </c>
      <c r="H1" s="655" t="inlineStr">
        <is>
          <t>Ruth Nnadi</t>
        </is>
      </c>
      <c r="I1" s="654" t="inlineStr">
        <is>
          <t>Christina Maluleka</t>
        </is>
      </c>
      <c r="J1" s="654" t="inlineStr">
        <is>
          <t>Mzee Mzwakhe</t>
        </is>
      </c>
      <c r="K1" s="654" t="inlineStr">
        <is>
          <t>Susan Murire</t>
        </is>
      </c>
      <c r="L1" s="654" t="inlineStr">
        <is>
          <t>Ndai Mapenyenye</t>
        </is>
      </c>
      <c r="M1" s="654" t="inlineStr">
        <is>
          <t>Adaobi Ejikeme</t>
        </is>
      </c>
      <c r="N1" s="654" t="inlineStr">
        <is>
          <t>Merriam Maluleke</t>
        </is>
      </c>
      <c r="O1" s="654" t="inlineStr">
        <is>
          <t>Jane Mokgaetsi Moekwa</t>
        </is>
      </c>
      <c r="P1" s="654" t="inlineStr">
        <is>
          <t>Sylvia Nene</t>
        </is>
      </c>
      <c r="Q1" s="654" t="inlineStr">
        <is>
          <t>Matodzi Sylvia Mutavhatsindi</t>
        </is>
      </c>
      <c r="R1" s="654" t="inlineStr">
        <is>
          <t>Siphilisiwe Nkala(Patricia)</t>
        </is>
      </c>
      <c r="S1" s="654" t="inlineStr">
        <is>
          <t>Refiloe Khuzwayo</t>
        </is>
      </c>
      <c r="T1" s="654" t="inlineStr">
        <is>
          <t>Mmamaswabi Emma Dhlamini</t>
        </is>
      </c>
      <c r="U1" s="654" t="inlineStr">
        <is>
          <t xml:space="preserve">Tracy Nothando Nyirenda </t>
        </is>
      </c>
      <c r="V1" s="656" t="n"/>
      <c r="W1" s="656" t="n"/>
      <c r="X1" s="656" t="n"/>
      <c r="Y1" s="656" t="n"/>
      <c r="Z1" s="656" t="n"/>
      <c r="AA1" s="656" t="n"/>
      <c r="AB1" s="656" t="n"/>
      <c r="AC1" s="656" t="n"/>
      <c r="AD1" s="656" t="n"/>
      <c r="AE1" s="656" t="n"/>
      <c r="AF1" s="656" t="n"/>
      <c r="AG1" s="656" t="n"/>
      <c r="AH1" s="656" t="n"/>
      <c r="AI1" s="656" t="n"/>
      <c r="AJ1" s="656" t="n"/>
      <c r="AK1" s="656" t="n"/>
      <c r="AL1" s="656" t="n"/>
      <c r="AM1" s="656" t="n"/>
      <c r="AN1" s="656" t="n"/>
      <c r="AO1" s="656" t="n"/>
      <c r="AP1" s="656" t="n"/>
      <c r="AQ1" s="656" t="n"/>
      <c r="AR1" s="656" t="n"/>
      <c r="AS1" s="656" t="n"/>
      <c r="AT1" s="656" t="n"/>
      <c r="AU1" s="656" t="n"/>
      <c r="AV1" s="656" t="n"/>
      <c r="AW1" s="656" t="n"/>
      <c r="AX1" s="656" t="n"/>
      <c r="AY1" s="656" t="n"/>
      <c r="AZ1" s="656" t="n"/>
      <c r="BA1" s="656" t="n"/>
      <c r="BB1" s="656" t="n"/>
      <c r="BC1" s="656" t="n"/>
      <c r="BD1" s="656" t="n"/>
      <c r="BE1" s="656" t="n"/>
      <c r="BF1" s="656" t="n"/>
      <c r="BG1" s="656" t="n"/>
      <c r="BH1" s="656" t="n"/>
      <c r="BI1" s="656" t="n"/>
      <c r="BJ1" s="656" t="n"/>
      <c r="BK1" s="656" t="n"/>
      <c r="BL1" s="656" t="n"/>
      <c r="BM1" s="656" t="n"/>
      <c r="BN1" s="656" t="n"/>
      <c r="BO1" s="656" t="n"/>
      <c r="BP1" s="656" t="n"/>
      <c r="BQ1" s="656" t="n"/>
      <c r="BR1" s="656" t="n"/>
      <c r="BS1" s="656" t="n"/>
      <c r="BT1" s="656" t="n"/>
      <c r="BU1" s="656" t="n"/>
      <c r="BV1" s="656" t="n"/>
      <c r="BW1" s="656" t="n"/>
      <c r="BX1" s="656" t="n"/>
      <c r="BY1" s="656" t="n"/>
      <c r="BZ1" s="656" t="n"/>
      <c r="CA1" s="656" t="n"/>
      <c r="CB1" s="656" t="n"/>
      <c r="CC1" s="656" t="n"/>
      <c r="CD1" s="656" t="n"/>
      <c r="CE1" s="656" t="n"/>
      <c r="CF1" s="656" t="n"/>
      <c r="CG1" s="656" t="n"/>
      <c r="CH1" s="656" t="n"/>
      <c r="CI1" s="656" t="n"/>
      <c r="CJ1" s="656" t="n"/>
      <c r="CK1" s="656" t="n"/>
      <c r="CL1" s="656" t="n"/>
      <c r="CM1" s="656" t="n"/>
      <c r="CN1" s="656" t="n"/>
      <c r="CO1" s="656" t="n"/>
    </row>
    <row r="2" ht="18.75" customFormat="1" customHeight="1" s="592">
      <c r="A2" s="657" t="n"/>
      <c r="B2" s="658" t="inlineStr">
        <is>
          <t>Caregiver Price</t>
        </is>
      </c>
      <c r="C2" s="659" t="n">
        <v>600</v>
      </c>
      <c r="D2" s="659" t="n">
        <v>450</v>
      </c>
      <c r="E2" s="659" t="n">
        <v>450</v>
      </c>
      <c r="F2" s="659" t="n">
        <v>450</v>
      </c>
      <c r="G2" s="659" t="n">
        <v>350</v>
      </c>
      <c r="H2" s="659" t="n">
        <v>450</v>
      </c>
      <c r="I2" s="660" t="n">
        <v>450</v>
      </c>
      <c r="J2" s="659" t="n">
        <v>550</v>
      </c>
      <c r="K2" s="659" t="n">
        <v>450</v>
      </c>
      <c r="L2" s="659" t="n"/>
      <c r="M2" s="659" t="n">
        <v>450</v>
      </c>
      <c r="N2" s="659" t="n">
        <v>450</v>
      </c>
      <c r="O2" s="659" t="n">
        <v>450</v>
      </c>
      <c r="P2" s="659" t="n">
        <v>350</v>
      </c>
      <c r="Q2" s="659" t="n">
        <v>450</v>
      </c>
      <c r="R2" s="659" t="n">
        <v>450</v>
      </c>
      <c r="S2" s="659" t="n">
        <v>450</v>
      </c>
      <c r="T2" s="659" t="n">
        <v>450</v>
      </c>
      <c r="U2" s="660" t="n">
        <v>450</v>
      </c>
      <c r="V2" s="609" t="n"/>
      <c r="W2" s="609" t="n"/>
      <c r="X2" s="609" t="n"/>
      <c r="Y2" s="609" t="n"/>
      <c r="Z2" s="609" t="n"/>
      <c r="AA2" s="609" t="n"/>
      <c r="AB2" s="609" t="n"/>
      <c r="AC2" s="609" t="n"/>
      <c r="AD2" s="609" t="n"/>
      <c r="AE2" s="609" t="n"/>
      <c r="AF2" s="609" t="n"/>
      <c r="AG2" s="609" t="n"/>
      <c r="AH2" s="609" t="n"/>
      <c r="AI2" s="609" t="n"/>
      <c r="AJ2" s="609" t="n"/>
      <c r="AK2" s="609" t="n"/>
      <c r="AL2" s="609" t="n"/>
      <c r="AM2" s="609" t="n"/>
      <c r="AN2" s="609" t="n"/>
      <c r="AO2" s="609" t="n"/>
      <c r="AP2" s="609" t="n"/>
      <c r="AQ2" s="609" t="n"/>
      <c r="AR2" s="609" t="n"/>
      <c r="AS2" s="609" t="n"/>
      <c r="AT2" s="609" t="n"/>
      <c r="AU2" s="609" t="n"/>
      <c r="AV2" s="609" t="n"/>
      <c r="AW2" s="609" t="n"/>
      <c r="AX2" s="609" t="n"/>
      <c r="AY2" s="609" t="n"/>
      <c r="AZ2" s="609" t="n"/>
      <c r="BA2" s="609" t="n"/>
      <c r="BB2" s="609" t="n"/>
      <c r="BC2" s="609" t="n"/>
      <c r="BD2" s="609" t="n"/>
      <c r="BE2" s="609" t="n"/>
      <c r="BF2" s="609" t="n"/>
      <c r="BG2" s="609" t="n"/>
      <c r="BH2" s="609" t="n"/>
      <c r="BI2" s="609" t="n"/>
      <c r="BJ2" s="609" t="n"/>
      <c r="BK2" s="609" t="n"/>
      <c r="BL2" s="609" t="n"/>
      <c r="BM2" s="609" t="n"/>
      <c r="BN2" s="609" t="n"/>
      <c r="BO2" s="609" t="n"/>
      <c r="BP2" s="609" t="n"/>
      <c r="BQ2" s="609" t="n"/>
      <c r="BR2" s="609" t="n"/>
      <c r="BS2" s="609" t="n"/>
      <c r="BT2" s="609" t="n"/>
      <c r="BU2" s="609" t="n"/>
      <c r="BV2" s="609" t="n"/>
      <c r="BW2" s="609" t="n"/>
      <c r="BX2" s="609" t="n"/>
      <c r="BY2" s="609" t="n"/>
      <c r="BZ2" s="609" t="n"/>
      <c r="CA2" s="609" t="n"/>
      <c r="CB2" s="609" t="n"/>
      <c r="CC2" s="609" t="n"/>
      <c r="CD2" s="609" t="n"/>
      <c r="CE2" s="609" t="n"/>
      <c r="CF2" s="609" t="n"/>
      <c r="CG2" s="609" t="n"/>
      <c r="CH2" s="609" t="n"/>
      <c r="CI2" s="609" t="n"/>
      <c r="CJ2" s="609" t="n"/>
      <c r="CK2" s="609" t="n"/>
      <c r="CL2" s="609" t="n"/>
      <c r="CM2" s="609" t="n"/>
      <c r="CN2" s="609" t="n"/>
      <c r="CO2" s="609" t="n"/>
    </row>
    <row r="3" ht="18.75" customFormat="1" customHeight="1" s="661">
      <c r="A3" s="662" t="inlineStr">
        <is>
          <t xml:space="preserve">Date </t>
        </is>
      </c>
      <c r="B3" s="663" t="inlineStr">
        <is>
          <t>Days of  Week</t>
        </is>
      </c>
      <c r="C3" s="664" t="n"/>
      <c r="D3" s="664" t="n"/>
      <c r="E3" s="664" t="n"/>
      <c r="F3" s="664" t="n"/>
      <c r="G3" s="664" t="n"/>
      <c r="H3" s="665" t="n"/>
      <c r="I3" s="666" t="n"/>
      <c r="J3" s="667" t="n"/>
      <c r="K3" s="664" t="n"/>
      <c r="L3" s="664" t="n"/>
      <c r="M3" s="664" t="n"/>
      <c r="N3" s="664" t="n"/>
      <c r="O3" s="664" t="n"/>
      <c r="P3" s="665" t="n"/>
      <c r="Q3" s="668" t="n"/>
      <c r="R3" s="669" t="n"/>
      <c r="S3" s="664" t="n"/>
      <c r="T3" s="665" t="n"/>
      <c r="U3" s="666" t="n"/>
      <c r="V3" s="670" t="n"/>
      <c r="W3" s="670" t="n"/>
      <c r="X3" s="670" t="n"/>
      <c r="Y3" s="670" t="n"/>
      <c r="Z3" s="670" t="n"/>
      <c r="AA3" s="670" t="n"/>
      <c r="AB3" s="670" t="n"/>
      <c r="AC3" s="670" t="n"/>
      <c r="AD3" s="670" t="n"/>
      <c r="AE3" s="670" t="n"/>
      <c r="AF3" s="670" t="n"/>
      <c r="AG3" s="670" t="n"/>
      <c r="AH3" s="670" t="n"/>
      <c r="AI3" s="670" t="n"/>
      <c r="AJ3" s="670" t="n"/>
      <c r="AK3" s="670" t="n"/>
      <c r="AL3" s="670" t="n"/>
      <c r="AM3" s="670" t="n"/>
      <c r="AN3" s="670" t="n"/>
      <c r="AO3" s="670" t="n"/>
      <c r="AP3" s="670" t="n"/>
      <c r="AQ3" s="670" t="n"/>
      <c r="AR3" s="670" t="n"/>
      <c r="AS3" s="670" t="n"/>
      <c r="AT3" s="670" t="n"/>
      <c r="AU3" s="670" t="n"/>
      <c r="AV3" s="670" t="n"/>
      <c r="AW3" s="670" t="n"/>
      <c r="AX3" s="670" t="n"/>
      <c r="AY3" s="670" t="n"/>
      <c r="AZ3" s="670" t="n"/>
      <c r="BA3" s="670" t="n"/>
      <c r="BB3" s="670" t="n"/>
      <c r="BC3" s="670" t="n"/>
      <c r="BD3" s="670" t="n"/>
      <c r="BE3" s="670" t="n"/>
      <c r="BF3" s="670" t="n"/>
      <c r="BG3" s="670" t="n"/>
      <c r="BH3" s="670" t="n"/>
      <c r="BI3" s="670" t="n"/>
      <c r="BJ3" s="670" t="n"/>
      <c r="BK3" s="670" t="n"/>
      <c r="BL3" s="670" t="n"/>
      <c r="BM3" s="670" t="n"/>
      <c r="BN3" s="670" t="n"/>
      <c r="BO3" s="670" t="n"/>
      <c r="BP3" s="670" t="n"/>
      <c r="BQ3" s="670" t="n"/>
      <c r="BR3" s="670" t="n"/>
      <c r="BS3" s="670" t="n"/>
      <c r="BT3" s="670" t="n"/>
      <c r="BU3" s="670" t="n"/>
      <c r="BV3" s="670" t="n"/>
      <c r="BW3" s="670" t="n"/>
      <c r="BX3" s="670" t="n"/>
      <c r="BY3" s="670" t="n"/>
      <c r="BZ3" s="670" t="n"/>
      <c r="CA3" s="670" t="n"/>
      <c r="CB3" s="670" t="n"/>
      <c r="CC3" s="670" t="n"/>
      <c r="CD3" s="670" t="n"/>
      <c r="CE3" s="670" t="n"/>
      <c r="CF3" s="670" t="n"/>
      <c r="CG3" s="670" t="n"/>
      <c r="CH3" s="670" t="n"/>
      <c r="CI3" s="670" t="n"/>
      <c r="CJ3" s="670" t="n"/>
      <c r="CK3" s="670" t="n"/>
      <c r="CL3" s="670" t="n"/>
      <c r="CM3" s="670" t="n"/>
      <c r="CN3" s="670" t="n"/>
      <c r="CO3" s="670" t="n"/>
    </row>
    <row r="4" ht="18.75" customHeight="1" s="562">
      <c r="A4" s="671" t="n">
        <v>45962</v>
      </c>
      <c r="B4" s="672" t="inlineStr">
        <is>
          <t>Saturday</t>
        </is>
      </c>
      <c r="C4" s="673" t="n"/>
      <c r="D4" s="673" t="n"/>
      <c r="E4" s="674" t="inlineStr">
        <is>
          <t>Apie</t>
        </is>
      </c>
      <c r="F4" s="673" t="n"/>
      <c r="G4" s="675" t="inlineStr">
        <is>
          <t>Hennie</t>
        </is>
      </c>
      <c r="H4" s="676" t="n"/>
      <c r="I4" s="677" t="inlineStr">
        <is>
          <t xml:space="preserve">Elizabeth </t>
        </is>
      </c>
      <c r="J4" s="591" t="n"/>
      <c r="K4" s="678" t="inlineStr">
        <is>
          <t>Jacomina</t>
        </is>
      </c>
      <c r="L4" s="679" t="n"/>
      <c r="M4" s="680" t="inlineStr">
        <is>
          <t>Johnstons</t>
        </is>
      </c>
      <c r="N4" s="676" t="n"/>
      <c r="O4" s="681" t="inlineStr">
        <is>
          <t>Linda</t>
        </is>
      </c>
      <c r="P4" s="591" t="n"/>
      <c r="Q4" s="673" t="n"/>
      <c r="R4" s="682" t="inlineStr">
        <is>
          <t xml:space="preserve">Boets </t>
        </is>
      </c>
      <c r="S4" s="673" t="n"/>
      <c r="T4" s="676" t="n"/>
      <c r="U4" s="683" t="inlineStr">
        <is>
          <t>Hillery</t>
        </is>
      </c>
      <c r="V4" s="591" t="n"/>
      <c r="W4" s="591" t="n"/>
      <c r="X4" s="591" t="n"/>
      <c r="Y4" s="591" t="n"/>
      <c r="Z4" s="591" t="n"/>
      <c r="AA4" s="591" t="n"/>
      <c r="AB4" s="591" t="n"/>
      <c r="AC4" s="591" t="n"/>
      <c r="AD4" s="591" t="n"/>
      <c r="AE4" s="591" t="n"/>
      <c r="AF4" s="591" t="n"/>
      <c r="AG4" s="591" t="n"/>
      <c r="AH4" s="591" t="n"/>
      <c r="AI4" s="591" t="n"/>
      <c r="AJ4" s="591" t="n"/>
      <c r="AK4" s="591" t="n"/>
      <c r="AL4" s="591" t="n"/>
      <c r="AM4" s="591" t="n"/>
      <c r="AN4" s="591" t="n"/>
      <c r="AO4" s="591" t="n"/>
      <c r="AP4" s="591" t="n"/>
      <c r="AQ4" s="591" t="n"/>
      <c r="AR4" s="591" t="n"/>
      <c r="AS4" s="591" t="n"/>
      <c r="AT4" s="591" t="n"/>
      <c r="AU4" s="591" t="n"/>
      <c r="AV4" s="591" t="n"/>
      <c r="AW4" s="591" t="n"/>
      <c r="AX4" s="591" t="n"/>
      <c r="AY4" s="591" t="n"/>
      <c r="AZ4" s="591" t="n"/>
      <c r="BA4" s="591" t="n"/>
      <c r="BB4" s="591" t="n"/>
      <c r="BC4" s="591" t="n"/>
      <c r="BD4" s="591" t="n"/>
      <c r="BE4" s="591" t="n"/>
      <c r="BF4" s="591" t="n"/>
      <c r="BG4" s="591" t="n"/>
      <c r="BH4" s="591" t="n"/>
      <c r="BI4" s="591" t="n"/>
      <c r="BJ4" s="591" t="n"/>
      <c r="BK4" s="591" t="n"/>
      <c r="BL4" s="591" t="n"/>
      <c r="BM4" s="591" t="n"/>
      <c r="BN4" s="591" t="n"/>
      <c r="BO4" s="591" t="n"/>
      <c r="BP4" s="591" t="n"/>
      <c r="BQ4" s="591" t="n"/>
      <c r="BR4" s="591" t="n"/>
      <c r="BS4" s="591" t="n"/>
      <c r="BT4" s="591" t="n"/>
      <c r="BU4" s="591" t="n"/>
      <c r="BV4" s="591" t="n"/>
      <c r="BW4" s="591" t="n"/>
      <c r="BX4" s="591" t="n"/>
      <c r="BY4" s="591" t="n"/>
      <c r="BZ4" s="591" t="n"/>
      <c r="CA4" s="591" t="n"/>
      <c r="CB4" s="591" t="n"/>
      <c r="CC4" s="591" t="n"/>
      <c r="CD4" s="591" t="n"/>
      <c r="CE4" s="591" t="n"/>
      <c r="CF4" s="591" t="n"/>
      <c r="CG4" s="591" t="n"/>
      <c r="CH4" s="591" t="n"/>
      <c r="CI4" s="591" t="n"/>
      <c r="CJ4" s="591" t="n"/>
      <c r="CK4" s="591" t="n"/>
      <c r="CL4" s="591" t="n"/>
      <c r="CM4" s="591" t="n"/>
      <c r="CN4" s="591" t="n"/>
      <c r="CO4" s="591" t="n"/>
    </row>
    <row r="5" ht="18.75" customHeight="1" s="562">
      <c r="A5" s="684" t="n">
        <v>45963</v>
      </c>
      <c r="B5" s="685" t="inlineStr">
        <is>
          <t>Sunday</t>
        </is>
      </c>
      <c r="C5" s="673" t="n"/>
      <c r="D5" s="673" t="n"/>
      <c r="E5" s="686" t="inlineStr">
        <is>
          <t>Apie</t>
        </is>
      </c>
      <c r="F5" s="673" t="n"/>
      <c r="G5" s="687" t="inlineStr">
        <is>
          <t>Hennie</t>
        </is>
      </c>
      <c r="H5" s="676" t="n"/>
      <c r="I5" s="677" t="inlineStr">
        <is>
          <t xml:space="preserve">Elizabeth </t>
        </is>
      </c>
      <c r="J5" s="591" t="n"/>
      <c r="K5" s="688" t="inlineStr">
        <is>
          <t>Jacomina</t>
        </is>
      </c>
      <c r="L5" s="679" t="n"/>
      <c r="M5" s="683" t="inlineStr">
        <is>
          <t>Johnstons</t>
        </is>
      </c>
      <c r="N5" s="676" t="n"/>
      <c r="O5" s="689" t="inlineStr">
        <is>
          <t>Linda</t>
        </is>
      </c>
      <c r="P5" s="591" t="n"/>
      <c r="Q5" s="673" t="n"/>
      <c r="R5" s="679" t="n"/>
      <c r="S5" s="673" t="n"/>
      <c r="T5" s="673" t="n"/>
      <c r="U5" s="683" t="inlineStr">
        <is>
          <t>Hillery</t>
        </is>
      </c>
      <c r="V5" s="591" t="n"/>
      <c r="W5" s="591" t="n"/>
      <c r="X5" s="591" t="n"/>
      <c r="Y5" s="591" t="n"/>
      <c r="Z5" s="591" t="n"/>
      <c r="AA5" s="591" t="n"/>
      <c r="AB5" s="591" t="n"/>
      <c r="AC5" s="591" t="n"/>
      <c r="AD5" s="591" t="n"/>
      <c r="AE5" s="591" t="n"/>
      <c r="AF5" s="591" t="n"/>
      <c r="AG5" s="591" t="n"/>
      <c r="AH5" s="591" t="n"/>
      <c r="AI5" s="591" t="n"/>
      <c r="AJ5" s="591" t="n"/>
      <c r="AK5" s="591" t="n"/>
      <c r="AL5" s="591" t="n"/>
      <c r="AM5" s="591" t="n"/>
      <c r="AN5" s="591" t="n"/>
      <c r="AO5" s="591" t="n"/>
      <c r="AP5" s="591" t="n"/>
      <c r="AQ5" s="591" t="n"/>
      <c r="AR5" s="591" t="n"/>
      <c r="AS5" s="591" t="n"/>
      <c r="AT5" s="591" t="n"/>
      <c r="AU5" s="591" t="n"/>
      <c r="AV5" s="591" t="n"/>
      <c r="AW5" s="591" t="n"/>
      <c r="AX5" s="591" t="n"/>
      <c r="AY5" s="591" t="n"/>
      <c r="AZ5" s="591" t="n"/>
      <c r="BA5" s="591" t="n"/>
      <c r="BB5" s="591" t="n"/>
      <c r="BC5" s="591" t="n"/>
      <c r="BD5" s="591" t="n"/>
      <c r="BE5" s="591" t="n"/>
      <c r="BF5" s="591" t="n"/>
      <c r="BG5" s="591" t="n"/>
      <c r="BH5" s="591" t="n"/>
      <c r="BI5" s="591" t="n"/>
      <c r="BJ5" s="591" t="n"/>
      <c r="BK5" s="591" t="n"/>
      <c r="BL5" s="591" t="n"/>
      <c r="BM5" s="591" t="n"/>
      <c r="BN5" s="591" t="n"/>
      <c r="BO5" s="591" t="n"/>
      <c r="BP5" s="591" t="n"/>
      <c r="BQ5" s="591" t="n"/>
      <c r="BR5" s="591" t="n"/>
      <c r="BS5" s="591" t="n"/>
      <c r="BT5" s="591" t="n"/>
      <c r="BU5" s="591" t="n"/>
      <c r="BV5" s="591" t="n"/>
      <c r="BW5" s="591" t="n"/>
      <c r="BX5" s="591" t="n"/>
      <c r="BY5" s="591" t="n"/>
      <c r="BZ5" s="591" t="n"/>
      <c r="CA5" s="591" t="n"/>
      <c r="CB5" s="591" t="n"/>
      <c r="CC5" s="591" t="n"/>
      <c r="CD5" s="591" t="n"/>
      <c r="CE5" s="591" t="n"/>
      <c r="CF5" s="591" t="n"/>
      <c r="CG5" s="591" t="n"/>
      <c r="CH5" s="591" t="n"/>
      <c r="CI5" s="591" t="n"/>
      <c r="CJ5" s="591" t="n"/>
      <c r="CK5" s="591" t="n"/>
      <c r="CL5" s="591" t="n"/>
      <c r="CM5" s="591" t="n"/>
      <c r="CN5" s="591" t="n"/>
      <c r="CO5" s="591" t="n"/>
    </row>
    <row r="6" ht="18" customHeight="1" s="562">
      <c r="A6" s="684" t="n">
        <v>45964</v>
      </c>
      <c r="B6" s="685" t="inlineStr">
        <is>
          <t>Monday</t>
        </is>
      </c>
      <c r="C6" s="680" t="inlineStr">
        <is>
          <t>Johnstons</t>
        </is>
      </c>
      <c r="D6" s="673" t="n"/>
      <c r="E6" s="673" t="n"/>
      <c r="F6" s="674" t="inlineStr">
        <is>
          <t>Apie</t>
        </is>
      </c>
      <c r="G6" s="687" t="inlineStr">
        <is>
          <t>Hennie</t>
        </is>
      </c>
      <c r="H6" s="676" t="n"/>
      <c r="I6" s="677" t="inlineStr">
        <is>
          <t xml:space="preserve">Elizabeth </t>
        </is>
      </c>
      <c r="J6" s="690" t="inlineStr">
        <is>
          <t>Johan Bierman</t>
        </is>
      </c>
      <c r="K6" s="688" t="inlineStr">
        <is>
          <t>Jacomina</t>
        </is>
      </c>
      <c r="L6" s="679" t="n"/>
      <c r="M6" s="673" t="n"/>
      <c r="N6" s="676" t="n"/>
      <c r="O6" s="691" t="inlineStr">
        <is>
          <t>Linda</t>
        </is>
      </c>
      <c r="P6" s="692" t="inlineStr">
        <is>
          <t xml:space="preserve">Roos </t>
        </is>
      </c>
      <c r="Q6" s="679" t="n"/>
      <c r="R6" s="693" t="inlineStr">
        <is>
          <t xml:space="preserve">Boets </t>
        </is>
      </c>
      <c r="S6" s="673" t="n"/>
      <c r="T6" s="673" t="n"/>
      <c r="U6" s="673" t="n"/>
      <c r="V6" s="591" t="n"/>
      <c r="W6" s="591" t="n"/>
      <c r="X6" s="591" t="n"/>
      <c r="Y6" s="591" t="n"/>
      <c r="Z6" s="591" t="n"/>
      <c r="AA6" s="591" t="n"/>
      <c r="AB6" s="591" t="n"/>
      <c r="AC6" s="591" t="n"/>
      <c r="AD6" s="591" t="n"/>
      <c r="AE6" s="591" t="n"/>
      <c r="AF6" s="591" t="n"/>
      <c r="AG6" s="591" t="n"/>
      <c r="AH6" s="591" t="n"/>
      <c r="AI6" s="591" t="n"/>
      <c r="AJ6" s="591" t="n"/>
      <c r="AK6" s="591" t="n"/>
      <c r="AL6" s="591" t="n"/>
      <c r="AM6" s="591" t="n"/>
      <c r="AN6" s="591" t="n"/>
      <c r="AO6" s="591" t="n"/>
      <c r="AP6" s="591" t="n"/>
      <c r="AQ6" s="591" t="n"/>
      <c r="AR6" s="591" t="n"/>
      <c r="AS6" s="591" t="n"/>
      <c r="AT6" s="591" t="n"/>
      <c r="AU6" s="591" t="n"/>
      <c r="AV6" s="591" t="n"/>
      <c r="AW6" s="591" t="n"/>
      <c r="AX6" s="591" t="n"/>
      <c r="AY6" s="591" t="n"/>
      <c r="AZ6" s="591" t="n"/>
      <c r="BA6" s="591" t="n"/>
      <c r="BB6" s="591" t="n"/>
      <c r="BC6" s="591" t="n"/>
      <c r="BD6" s="591" t="n"/>
      <c r="BE6" s="591" t="n"/>
      <c r="BF6" s="591" t="n"/>
      <c r="BG6" s="591" t="n"/>
      <c r="BH6" s="591" t="n"/>
      <c r="BI6" s="591" t="n"/>
      <c r="BJ6" s="591" t="n"/>
      <c r="BK6" s="591" t="n"/>
      <c r="BL6" s="591" t="n"/>
      <c r="BM6" s="591" t="n"/>
      <c r="BN6" s="591" t="n"/>
      <c r="BO6" s="591" t="n"/>
      <c r="BP6" s="591" t="n"/>
      <c r="BQ6" s="591" t="n"/>
      <c r="BR6" s="591" t="n"/>
      <c r="BS6" s="591" t="n"/>
      <c r="BT6" s="591" t="n"/>
      <c r="BU6" s="591" t="n"/>
      <c r="BV6" s="591" t="n"/>
      <c r="BW6" s="591" t="n"/>
      <c r="BX6" s="591" t="n"/>
      <c r="BY6" s="591" t="n"/>
      <c r="BZ6" s="591" t="n"/>
      <c r="CA6" s="591" t="n"/>
      <c r="CB6" s="591" t="n"/>
      <c r="CC6" s="591" t="n"/>
      <c r="CD6" s="591" t="n"/>
      <c r="CE6" s="591" t="n"/>
      <c r="CF6" s="591" t="n"/>
      <c r="CG6" s="591" t="n"/>
      <c r="CH6" s="591" t="n"/>
      <c r="CI6" s="591" t="n"/>
      <c r="CJ6" s="591" t="n"/>
      <c r="CK6" s="591" t="n"/>
      <c r="CL6" s="591" t="n"/>
      <c r="CM6" s="591" t="n"/>
      <c r="CN6" s="591" t="n"/>
      <c r="CO6" s="591" t="n"/>
    </row>
    <row r="7" ht="18.75" customHeight="1" s="562">
      <c r="A7" s="684" t="n">
        <v>45965</v>
      </c>
      <c r="B7" s="685" t="inlineStr">
        <is>
          <t>Tuesday</t>
        </is>
      </c>
      <c r="C7" s="694" t="inlineStr">
        <is>
          <t>Johnstons</t>
        </is>
      </c>
      <c r="D7" s="673" t="n"/>
      <c r="E7" s="673" t="n"/>
      <c r="F7" s="695" t="inlineStr">
        <is>
          <t>Apie</t>
        </is>
      </c>
      <c r="G7" s="696" t="inlineStr">
        <is>
          <t>Hennie</t>
        </is>
      </c>
      <c r="H7" s="676" t="n"/>
      <c r="I7" s="677" t="inlineStr">
        <is>
          <t xml:space="preserve">Elizabeth </t>
        </is>
      </c>
      <c r="J7" s="697" t="inlineStr">
        <is>
          <t>Johan Bierman</t>
        </is>
      </c>
      <c r="K7" s="688" t="inlineStr">
        <is>
          <t>Jacomina</t>
        </is>
      </c>
      <c r="L7" s="679" t="n"/>
      <c r="M7" s="673" t="n"/>
      <c r="N7" s="676" t="n"/>
      <c r="O7" s="691" t="inlineStr">
        <is>
          <t>Linda</t>
        </is>
      </c>
      <c r="P7" s="698" t="inlineStr">
        <is>
          <t xml:space="preserve">Roos </t>
        </is>
      </c>
      <c r="Q7" s="679" t="n"/>
      <c r="R7" s="699" t="inlineStr">
        <is>
          <t xml:space="preserve">Boets </t>
        </is>
      </c>
      <c r="S7" s="673" t="n"/>
      <c r="T7" s="673" t="n"/>
      <c r="U7" s="673" t="n"/>
      <c r="V7" s="591" t="n"/>
      <c r="W7" s="591" t="n"/>
      <c r="X7" s="591" t="n"/>
      <c r="Y7" s="591" t="n"/>
      <c r="Z7" s="591" t="n"/>
      <c r="AA7" s="591" t="n"/>
      <c r="AB7" s="591" t="n"/>
      <c r="AC7" s="591" t="n"/>
      <c r="AD7" s="591" t="n"/>
      <c r="AE7" s="591" t="n"/>
      <c r="AF7" s="591" t="n"/>
      <c r="AG7" s="591" t="n"/>
      <c r="AH7" s="591" t="n"/>
      <c r="AI7" s="591" t="n"/>
      <c r="AJ7" s="591" t="n"/>
      <c r="AK7" s="591" t="n"/>
      <c r="AL7" s="591" t="n"/>
      <c r="AM7" s="591" t="n"/>
      <c r="AN7" s="591" t="n"/>
      <c r="AO7" s="591" t="n"/>
      <c r="AP7" s="591" t="n"/>
      <c r="AQ7" s="591" t="n"/>
      <c r="AR7" s="591" t="n"/>
      <c r="AS7" s="591" t="n"/>
      <c r="AT7" s="591" t="n"/>
      <c r="AU7" s="591" t="n"/>
      <c r="AV7" s="591" t="n"/>
      <c r="AW7" s="591" t="n"/>
      <c r="AX7" s="591" t="n"/>
      <c r="AY7" s="591" t="n"/>
      <c r="AZ7" s="591" t="n"/>
      <c r="BA7" s="591" t="n"/>
      <c r="BB7" s="591" t="n"/>
      <c r="BC7" s="591" t="n"/>
      <c r="BD7" s="591" t="n"/>
      <c r="BE7" s="591" t="n"/>
      <c r="BF7" s="591" t="n"/>
      <c r="BG7" s="591" t="n"/>
      <c r="BH7" s="591" t="n"/>
      <c r="BI7" s="591" t="n"/>
      <c r="BJ7" s="591" t="n"/>
      <c r="BK7" s="591" t="n"/>
      <c r="BL7" s="591" t="n"/>
      <c r="BM7" s="591" t="n"/>
      <c r="BN7" s="591" t="n"/>
      <c r="BO7" s="591" t="n"/>
      <c r="BP7" s="591" t="n"/>
      <c r="BQ7" s="591" t="n"/>
      <c r="BR7" s="591" t="n"/>
      <c r="BS7" s="591" t="n"/>
      <c r="BT7" s="591" t="n"/>
      <c r="BU7" s="591" t="n"/>
      <c r="BV7" s="591" t="n"/>
      <c r="BW7" s="591" t="n"/>
      <c r="BX7" s="591" t="n"/>
      <c r="BY7" s="591" t="n"/>
      <c r="BZ7" s="591" t="n"/>
      <c r="CA7" s="591" t="n"/>
      <c r="CB7" s="591" t="n"/>
      <c r="CC7" s="591" t="n"/>
      <c r="CD7" s="591" t="n"/>
      <c r="CE7" s="591" t="n"/>
      <c r="CF7" s="591" t="n"/>
      <c r="CG7" s="591" t="n"/>
      <c r="CH7" s="591" t="n"/>
      <c r="CI7" s="591" t="n"/>
      <c r="CJ7" s="591" t="n"/>
      <c r="CK7" s="591" t="n"/>
      <c r="CL7" s="591" t="n"/>
      <c r="CM7" s="591" t="n"/>
      <c r="CN7" s="591" t="n"/>
      <c r="CO7" s="591" t="n"/>
    </row>
    <row r="8" ht="18.75" customHeight="1" s="562">
      <c r="A8" s="684" t="n">
        <v>45966</v>
      </c>
      <c r="B8" s="685" t="inlineStr">
        <is>
          <t>Wednesday</t>
        </is>
      </c>
      <c r="C8" s="694" t="inlineStr">
        <is>
          <t>Johnstons</t>
        </is>
      </c>
      <c r="D8" s="676" t="n"/>
      <c r="E8" s="700" t="inlineStr">
        <is>
          <t>Rene</t>
        </is>
      </c>
      <c r="F8" s="701" t="inlineStr">
        <is>
          <t>Apie</t>
        </is>
      </c>
      <c r="G8" s="673" t="n"/>
      <c r="H8" s="676" t="n"/>
      <c r="I8" s="677" t="inlineStr">
        <is>
          <t xml:space="preserve">Elizabeth </t>
        </is>
      </c>
      <c r="J8" s="697" t="inlineStr">
        <is>
          <t>Johan Bierman</t>
        </is>
      </c>
      <c r="K8" s="688" t="inlineStr">
        <is>
          <t>Jacomina</t>
        </is>
      </c>
      <c r="L8" s="679" t="n"/>
      <c r="M8" s="673" t="n"/>
      <c r="N8" s="676" t="n"/>
      <c r="O8" s="691" t="inlineStr">
        <is>
          <t>Linda</t>
        </is>
      </c>
      <c r="P8" s="698" t="inlineStr">
        <is>
          <t xml:space="preserve">Roos </t>
        </is>
      </c>
      <c r="Q8" s="679" t="n"/>
      <c r="R8" s="699" t="inlineStr">
        <is>
          <t xml:space="preserve">Boets </t>
        </is>
      </c>
      <c r="S8" s="673" t="n"/>
      <c r="T8" s="673" t="n"/>
      <c r="U8" s="673" t="n"/>
      <c r="V8" s="591" t="n"/>
      <c r="W8" s="591" t="n"/>
      <c r="X8" s="591" t="n"/>
      <c r="Y8" s="591" t="n"/>
      <c r="Z8" s="591" t="n"/>
      <c r="AA8" s="591" t="n"/>
      <c r="AB8" s="591" t="n"/>
      <c r="AC8" s="591" t="n"/>
      <c r="AD8" s="591" t="n"/>
      <c r="AE8" s="591" t="n"/>
      <c r="AF8" s="591" t="n"/>
      <c r="AG8" s="591" t="n"/>
      <c r="AH8" s="591" t="n"/>
      <c r="AI8" s="591" t="n"/>
      <c r="AJ8" s="591" t="n"/>
      <c r="AK8" s="591" t="n"/>
      <c r="AL8" s="591" t="n"/>
      <c r="AM8" s="591" t="n"/>
      <c r="AN8" s="591" t="n"/>
      <c r="AO8" s="591" t="n"/>
      <c r="AP8" s="591" t="n"/>
      <c r="AQ8" s="591" t="n"/>
      <c r="AR8" s="591" t="n"/>
      <c r="AS8" s="591" t="n"/>
      <c r="AT8" s="591" t="n"/>
      <c r="AU8" s="591" t="n"/>
      <c r="AV8" s="591" t="n"/>
      <c r="AW8" s="591" t="n"/>
      <c r="AX8" s="591" t="n"/>
      <c r="AY8" s="591" t="n"/>
      <c r="AZ8" s="591" t="n"/>
      <c r="BA8" s="591" t="n"/>
      <c r="BB8" s="591" t="n"/>
      <c r="BC8" s="591" t="n"/>
      <c r="BD8" s="591" t="n"/>
      <c r="BE8" s="591" t="n"/>
      <c r="BF8" s="591" t="n"/>
      <c r="BG8" s="591" t="n"/>
      <c r="BH8" s="591" t="n"/>
      <c r="BI8" s="591" t="n"/>
      <c r="BJ8" s="591" t="n"/>
      <c r="BK8" s="591" t="n"/>
      <c r="BL8" s="591" t="n"/>
      <c r="BM8" s="591" t="n"/>
      <c r="BN8" s="591" t="n"/>
      <c r="BO8" s="591" t="n"/>
      <c r="BP8" s="591" t="n"/>
      <c r="BQ8" s="591" t="n"/>
      <c r="BR8" s="591" t="n"/>
      <c r="BS8" s="591" t="n"/>
      <c r="BT8" s="591" t="n"/>
      <c r="BU8" s="591" t="n"/>
      <c r="BV8" s="591" t="n"/>
      <c r="BW8" s="591" t="n"/>
      <c r="BX8" s="591" t="n"/>
      <c r="BY8" s="591" t="n"/>
      <c r="BZ8" s="591" t="n"/>
      <c r="CA8" s="591" t="n"/>
      <c r="CB8" s="591" t="n"/>
      <c r="CC8" s="591" t="n"/>
      <c r="CD8" s="591" t="n"/>
      <c r="CE8" s="591" t="n"/>
      <c r="CF8" s="591" t="n"/>
      <c r="CG8" s="591" t="n"/>
      <c r="CH8" s="591" t="n"/>
      <c r="CI8" s="591" t="n"/>
      <c r="CJ8" s="591" t="n"/>
      <c r="CK8" s="591" t="n"/>
      <c r="CL8" s="591" t="n"/>
      <c r="CM8" s="591" t="n"/>
      <c r="CN8" s="591" t="n"/>
      <c r="CO8" s="591" t="n"/>
    </row>
    <row r="9" ht="18.75" customHeight="1" s="562">
      <c r="A9" s="684" t="n">
        <v>45967</v>
      </c>
      <c r="B9" s="685" t="inlineStr">
        <is>
          <t>Thursday</t>
        </is>
      </c>
      <c r="C9" s="702" t="inlineStr">
        <is>
          <t>Johnstons</t>
        </is>
      </c>
      <c r="D9" s="703" t="inlineStr">
        <is>
          <t xml:space="preserve">Androulla </t>
        </is>
      </c>
      <c r="E9" s="704" t="inlineStr">
        <is>
          <t>Rene</t>
        </is>
      </c>
      <c r="F9" s="705" t="inlineStr">
        <is>
          <t>Apie</t>
        </is>
      </c>
      <c r="G9" s="675" t="inlineStr">
        <is>
          <t>Hennie</t>
        </is>
      </c>
      <c r="H9" s="676" t="n"/>
      <c r="I9" s="677" t="inlineStr">
        <is>
          <t xml:space="preserve">Elizabeth </t>
        </is>
      </c>
      <c r="J9" s="697" t="inlineStr">
        <is>
          <t>Johan Bierman</t>
        </is>
      </c>
      <c r="K9" s="688" t="inlineStr">
        <is>
          <t>Jacomina</t>
        </is>
      </c>
      <c r="L9" s="679" t="n"/>
      <c r="M9" s="673" t="n"/>
      <c r="N9" s="676" t="n"/>
      <c r="O9" s="706" t="inlineStr">
        <is>
          <t>Linda</t>
        </is>
      </c>
      <c r="P9" s="698" t="inlineStr">
        <is>
          <t xml:space="preserve">Roos </t>
        </is>
      </c>
      <c r="Q9" s="679" t="n"/>
      <c r="R9" s="699" t="inlineStr">
        <is>
          <t xml:space="preserve">Boets </t>
        </is>
      </c>
      <c r="S9" s="673" t="n"/>
      <c r="T9" s="673" t="n"/>
      <c r="U9" s="673" t="n"/>
      <c r="V9" s="591" t="n"/>
      <c r="W9" s="591" t="n"/>
      <c r="X9" s="591" t="n"/>
      <c r="Y9" s="591" t="n"/>
      <c r="Z9" s="591" t="n"/>
      <c r="AA9" s="591" t="n"/>
      <c r="AB9" s="591" t="n"/>
      <c r="AC9" s="591" t="n"/>
      <c r="AD9" s="591" t="n"/>
      <c r="AE9" s="591" t="n"/>
      <c r="AF9" s="591" t="n"/>
      <c r="AG9" s="591" t="n"/>
      <c r="AH9" s="591" t="n"/>
      <c r="AI9" s="591" t="n"/>
      <c r="AJ9" s="591" t="n"/>
      <c r="AK9" s="591" t="n"/>
      <c r="AL9" s="591" t="n"/>
      <c r="AM9" s="591" t="n"/>
      <c r="AN9" s="591" t="n"/>
      <c r="AO9" s="591" t="n"/>
      <c r="AP9" s="591" t="n"/>
      <c r="AQ9" s="591" t="n"/>
      <c r="AR9" s="591" t="n"/>
      <c r="AS9" s="591" t="n"/>
      <c r="AT9" s="591" t="n"/>
      <c r="AU9" s="591" t="n"/>
      <c r="AV9" s="591" t="n"/>
      <c r="AW9" s="591" t="n"/>
      <c r="AX9" s="591" t="n"/>
      <c r="AY9" s="591" t="n"/>
      <c r="AZ9" s="591" t="n"/>
      <c r="BA9" s="591" t="n"/>
      <c r="BB9" s="591" t="n"/>
      <c r="BC9" s="591" t="n"/>
      <c r="BD9" s="591" t="n"/>
      <c r="BE9" s="591" t="n"/>
      <c r="BF9" s="591" t="n"/>
      <c r="BG9" s="591" t="n"/>
      <c r="BH9" s="591" t="n"/>
      <c r="BI9" s="591" t="n"/>
      <c r="BJ9" s="591" t="n"/>
      <c r="BK9" s="591" t="n"/>
      <c r="BL9" s="591" t="n"/>
      <c r="BM9" s="591" t="n"/>
      <c r="BN9" s="591" t="n"/>
      <c r="BO9" s="591" t="n"/>
      <c r="BP9" s="591" t="n"/>
      <c r="BQ9" s="591" t="n"/>
      <c r="BR9" s="591" t="n"/>
      <c r="BS9" s="591" t="n"/>
      <c r="BT9" s="591" t="n"/>
      <c r="BU9" s="591" t="n"/>
      <c r="BV9" s="591" t="n"/>
      <c r="BW9" s="591" t="n"/>
      <c r="BX9" s="591" t="n"/>
      <c r="BY9" s="591" t="n"/>
      <c r="BZ9" s="591" t="n"/>
      <c r="CA9" s="591" t="n"/>
      <c r="CB9" s="591" t="n"/>
      <c r="CC9" s="591" t="n"/>
      <c r="CD9" s="591" t="n"/>
      <c r="CE9" s="591" t="n"/>
      <c r="CF9" s="591" t="n"/>
      <c r="CG9" s="591" t="n"/>
      <c r="CH9" s="591" t="n"/>
      <c r="CI9" s="591" t="n"/>
      <c r="CJ9" s="591" t="n"/>
      <c r="CK9" s="591" t="n"/>
      <c r="CL9" s="591" t="n"/>
      <c r="CM9" s="591" t="n"/>
      <c r="CN9" s="591" t="n"/>
      <c r="CO9" s="591" t="n"/>
    </row>
    <row r="10" ht="18.75" customHeight="1" s="562">
      <c r="A10" s="684" t="n">
        <v>45968</v>
      </c>
      <c r="B10" s="685" t="inlineStr">
        <is>
          <t>Friday</t>
        </is>
      </c>
      <c r="C10" s="707" t="n"/>
      <c r="D10" s="708" t="inlineStr">
        <is>
          <t xml:space="preserve">Androulla </t>
        </is>
      </c>
      <c r="E10" s="704" t="inlineStr">
        <is>
          <t>Rene</t>
        </is>
      </c>
      <c r="F10" s="679" t="n"/>
      <c r="G10" s="687" t="inlineStr">
        <is>
          <t>Hennie</t>
        </is>
      </c>
      <c r="H10" s="676" t="n"/>
      <c r="I10" s="677" t="inlineStr">
        <is>
          <t xml:space="preserve">Elizabeth </t>
        </is>
      </c>
      <c r="J10" s="709" t="inlineStr">
        <is>
          <t>Johan Bierman</t>
        </is>
      </c>
      <c r="K10" s="688" t="inlineStr">
        <is>
          <t>Jacomina</t>
        </is>
      </c>
      <c r="L10" s="591" t="n"/>
      <c r="M10" s="680" t="inlineStr">
        <is>
          <t>Johnstons</t>
        </is>
      </c>
      <c r="N10" s="591" t="n"/>
      <c r="O10" s="710" t="inlineStr">
        <is>
          <t>Van Vuuren</t>
        </is>
      </c>
      <c r="P10" s="711" t="inlineStr">
        <is>
          <t xml:space="preserve">Roos </t>
        </is>
      </c>
      <c r="Q10" s="679" t="n"/>
      <c r="R10" s="712" t="inlineStr">
        <is>
          <t xml:space="preserve">Boets </t>
        </is>
      </c>
      <c r="S10" s="673" t="n"/>
      <c r="T10" s="674" t="inlineStr">
        <is>
          <t>Apie</t>
        </is>
      </c>
      <c r="U10" s="673" t="n"/>
      <c r="V10" s="591" t="n"/>
      <c r="W10" s="591" t="n"/>
      <c r="X10" s="591" t="n"/>
      <c r="Y10" s="591" t="n"/>
      <c r="Z10" s="591" t="n"/>
      <c r="AA10" s="591" t="n"/>
      <c r="AB10" s="591" t="n"/>
      <c r="AC10" s="591" t="n"/>
      <c r="AD10" s="591" t="n"/>
      <c r="AE10" s="591" t="n"/>
      <c r="AF10" s="591" t="n"/>
      <c r="AG10" s="591" t="n"/>
      <c r="AH10" s="591" t="n"/>
      <c r="AI10" s="591" t="n"/>
      <c r="AJ10" s="591" t="n"/>
      <c r="AK10" s="591" t="n"/>
      <c r="AL10" s="591" t="n"/>
      <c r="AM10" s="591" t="n"/>
      <c r="AN10" s="591" t="n"/>
      <c r="AO10" s="591" t="n"/>
      <c r="AP10" s="591" t="n"/>
      <c r="AQ10" s="591" t="n"/>
      <c r="AR10" s="591" t="n"/>
      <c r="AS10" s="591" t="n"/>
      <c r="AT10" s="591" t="n"/>
      <c r="AU10" s="591" t="n"/>
      <c r="AV10" s="591" t="n"/>
      <c r="AW10" s="591" t="n"/>
      <c r="AX10" s="591" t="n"/>
      <c r="AY10" s="591" t="n"/>
      <c r="AZ10" s="591" t="n"/>
      <c r="BA10" s="591" t="n"/>
      <c r="BB10" s="591" t="n"/>
      <c r="BC10" s="591" t="n"/>
      <c r="BD10" s="591" t="n"/>
      <c r="BE10" s="591" t="n"/>
      <c r="BF10" s="591" t="n"/>
      <c r="BG10" s="591" t="n"/>
      <c r="BH10" s="591" t="n"/>
      <c r="BI10" s="591" t="n"/>
      <c r="BJ10" s="591" t="n"/>
      <c r="BK10" s="591" t="n"/>
      <c r="BL10" s="591" t="n"/>
      <c r="BM10" s="591" t="n"/>
      <c r="BN10" s="591" t="n"/>
      <c r="BO10" s="591" t="n"/>
      <c r="BP10" s="591" t="n"/>
      <c r="BQ10" s="591" t="n"/>
      <c r="BR10" s="591" t="n"/>
      <c r="BS10" s="591" t="n"/>
      <c r="BT10" s="591" t="n"/>
      <c r="BU10" s="591" t="n"/>
      <c r="BV10" s="591" t="n"/>
      <c r="BW10" s="591" t="n"/>
      <c r="BX10" s="591" t="n"/>
      <c r="BY10" s="591" t="n"/>
      <c r="BZ10" s="591" t="n"/>
      <c r="CA10" s="591" t="n"/>
      <c r="CB10" s="591" t="n"/>
      <c r="CC10" s="591" t="n"/>
      <c r="CD10" s="591" t="n"/>
      <c r="CE10" s="591" t="n"/>
      <c r="CF10" s="591" t="n"/>
      <c r="CG10" s="591" t="n"/>
      <c r="CH10" s="591" t="n"/>
      <c r="CI10" s="591" t="n"/>
      <c r="CJ10" s="591" t="n"/>
      <c r="CK10" s="591" t="n"/>
      <c r="CL10" s="591" t="n"/>
      <c r="CM10" s="591" t="n"/>
      <c r="CN10" s="591" t="n"/>
      <c r="CO10" s="591" t="n"/>
    </row>
    <row r="11" ht="18.75" customHeight="1" s="562">
      <c r="A11" s="684" t="n">
        <v>45969</v>
      </c>
      <c r="B11" s="685" t="inlineStr">
        <is>
          <t>Saturday</t>
        </is>
      </c>
      <c r="C11" s="676" t="n"/>
      <c r="D11" s="708" t="inlineStr">
        <is>
          <t xml:space="preserve">Androulla </t>
        </is>
      </c>
      <c r="E11" s="704" t="inlineStr">
        <is>
          <t>Rene</t>
        </is>
      </c>
      <c r="F11" s="679" t="n"/>
      <c r="G11" s="696" t="inlineStr">
        <is>
          <t>Hennie</t>
        </is>
      </c>
      <c r="H11" s="676" t="n"/>
      <c r="I11" s="677" t="inlineStr">
        <is>
          <t xml:space="preserve">Elizabeth </t>
        </is>
      </c>
      <c r="J11" s="591" t="n"/>
      <c r="K11" s="713" t="inlineStr">
        <is>
          <t>Jacomina</t>
        </is>
      </c>
      <c r="L11" s="591" t="n"/>
      <c r="M11" s="694" t="inlineStr">
        <is>
          <t>Johnstons</t>
        </is>
      </c>
      <c r="N11" s="591" t="n"/>
      <c r="O11" s="714" t="inlineStr">
        <is>
          <t>Van Vuuren</t>
        </is>
      </c>
      <c r="P11" s="591" t="n"/>
      <c r="Q11" s="673" t="n"/>
      <c r="R11" s="679" t="n"/>
      <c r="S11" s="673" t="n"/>
      <c r="T11" s="695" t="inlineStr">
        <is>
          <t>Apie</t>
        </is>
      </c>
      <c r="U11" s="673" t="n"/>
      <c r="V11" s="591" t="n"/>
      <c r="W11" s="591" t="n"/>
      <c r="X11" s="591" t="n"/>
      <c r="Y11" s="591" t="n"/>
      <c r="Z11" s="591" t="n"/>
      <c r="AA11" s="591" t="n"/>
      <c r="AB11" s="591" t="n"/>
      <c r="AC11" s="591" t="n"/>
      <c r="AD11" s="591" t="n"/>
      <c r="AE11" s="591" t="n"/>
      <c r="AF11" s="591" t="n"/>
      <c r="AG11" s="591" t="n"/>
      <c r="AH11" s="591" t="n"/>
      <c r="AI11" s="591" t="n"/>
      <c r="AJ11" s="591" t="n"/>
      <c r="AK11" s="591" t="n"/>
      <c r="AL11" s="591" t="n"/>
      <c r="AM11" s="591" t="n"/>
      <c r="AN11" s="591" t="n"/>
      <c r="AO11" s="591" t="n"/>
      <c r="AP11" s="591" t="n"/>
      <c r="AQ11" s="591" t="n"/>
      <c r="AR11" s="591" t="n"/>
      <c r="AS11" s="591" t="n"/>
      <c r="AT11" s="591" t="n"/>
      <c r="AU11" s="591" t="n"/>
      <c r="AV11" s="591" t="n"/>
      <c r="AW11" s="591" t="n"/>
      <c r="AX11" s="591" t="n"/>
      <c r="AY11" s="591" t="n"/>
      <c r="AZ11" s="591" t="n"/>
      <c r="BA11" s="591" t="n"/>
      <c r="BB11" s="591" t="n"/>
      <c r="BC11" s="591" t="n"/>
      <c r="BD11" s="591" t="n"/>
      <c r="BE11" s="591" t="n"/>
      <c r="BF11" s="591" t="n"/>
      <c r="BG11" s="591" t="n"/>
      <c r="BH11" s="591" t="n"/>
      <c r="BI11" s="591" t="n"/>
      <c r="BJ11" s="591" t="n"/>
      <c r="BK11" s="591" t="n"/>
      <c r="BL11" s="591" t="n"/>
      <c r="BM11" s="591" t="n"/>
      <c r="BN11" s="591" t="n"/>
      <c r="BO11" s="591" t="n"/>
      <c r="BP11" s="591" t="n"/>
      <c r="BQ11" s="591" t="n"/>
      <c r="BR11" s="591" t="n"/>
      <c r="BS11" s="591" t="n"/>
      <c r="BT11" s="591" t="n"/>
      <c r="BU11" s="591" t="n"/>
      <c r="BV11" s="591" t="n"/>
      <c r="BW11" s="591" t="n"/>
      <c r="BX11" s="591" t="n"/>
      <c r="BY11" s="591" t="n"/>
      <c r="BZ11" s="591" t="n"/>
      <c r="CA11" s="591" t="n"/>
      <c r="CB11" s="591" t="n"/>
      <c r="CC11" s="591" t="n"/>
      <c r="CD11" s="591" t="n"/>
      <c r="CE11" s="591" t="n"/>
      <c r="CF11" s="591" t="n"/>
      <c r="CG11" s="591" t="n"/>
      <c r="CH11" s="591" t="n"/>
      <c r="CI11" s="591" t="n"/>
      <c r="CJ11" s="591" t="n"/>
      <c r="CK11" s="591" t="n"/>
      <c r="CL11" s="591" t="n"/>
      <c r="CM11" s="591" t="n"/>
      <c r="CN11" s="591" t="n"/>
      <c r="CO11" s="591" t="n"/>
    </row>
    <row r="12" ht="18.75" customHeight="1" s="562">
      <c r="A12" s="684" t="n">
        <v>45970</v>
      </c>
      <c r="B12" s="685" t="inlineStr">
        <is>
          <t>Sunday</t>
        </is>
      </c>
      <c r="C12" s="715" t="n"/>
      <c r="D12" s="708" t="inlineStr">
        <is>
          <t xml:space="preserve">Androulla </t>
        </is>
      </c>
      <c r="E12" s="716" t="inlineStr">
        <is>
          <t>Rene</t>
        </is>
      </c>
      <c r="F12" s="679" t="n"/>
      <c r="G12" s="673" t="n"/>
      <c r="H12" s="676" t="n"/>
      <c r="I12" s="677" t="inlineStr">
        <is>
          <t xml:space="preserve">Elizabeth </t>
        </is>
      </c>
      <c r="J12" s="591" t="n"/>
      <c r="K12" s="717" t="n"/>
      <c r="L12" s="591" t="n"/>
      <c r="M12" s="683" t="inlineStr">
        <is>
          <t>Johnstons</t>
        </is>
      </c>
      <c r="N12" s="591" t="n"/>
      <c r="O12" s="714" t="inlineStr">
        <is>
          <t>Van Vuuren</t>
        </is>
      </c>
      <c r="P12" s="591" t="n"/>
      <c r="Q12" s="673" t="n"/>
      <c r="R12" s="679" t="n"/>
      <c r="S12" s="678" t="inlineStr">
        <is>
          <t>Jacomina</t>
        </is>
      </c>
      <c r="T12" s="686" t="inlineStr">
        <is>
          <t>Apie</t>
        </is>
      </c>
      <c r="U12" s="673" t="n"/>
      <c r="V12" s="591" t="n"/>
      <c r="W12" s="591" t="n"/>
      <c r="X12" s="591" t="n"/>
      <c r="Y12" s="591" t="n"/>
      <c r="Z12" s="591" t="n"/>
      <c r="AA12" s="591" t="n"/>
      <c r="AB12" s="591" t="n"/>
      <c r="AC12" s="591" t="n"/>
      <c r="AD12" s="591" t="n"/>
      <c r="AE12" s="591" t="n"/>
      <c r="AF12" s="591" t="n"/>
      <c r="AG12" s="591" t="n"/>
      <c r="AH12" s="591" t="n"/>
      <c r="AI12" s="591" t="n"/>
      <c r="AJ12" s="591" t="n"/>
      <c r="AK12" s="591" t="n"/>
      <c r="AL12" s="591" t="n"/>
      <c r="AM12" s="591" t="n"/>
      <c r="AN12" s="591" t="n"/>
      <c r="AO12" s="591" t="n"/>
      <c r="AP12" s="591" t="n"/>
      <c r="AQ12" s="591" t="n"/>
      <c r="AR12" s="591" t="n"/>
      <c r="AS12" s="591" t="n"/>
      <c r="AT12" s="591" t="n"/>
      <c r="AU12" s="591" t="n"/>
      <c r="AV12" s="591" t="n"/>
      <c r="AW12" s="591" t="n"/>
      <c r="AX12" s="591" t="n"/>
      <c r="AY12" s="591" t="n"/>
      <c r="AZ12" s="591" t="n"/>
      <c r="BA12" s="591" t="n"/>
      <c r="BB12" s="591" t="n"/>
      <c r="BC12" s="591" t="n"/>
      <c r="BD12" s="591" t="n"/>
      <c r="BE12" s="591" t="n"/>
      <c r="BF12" s="591" t="n"/>
      <c r="BG12" s="591" t="n"/>
      <c r="BH12" s="591" t="n"/>
      <c r="BI12" s="591" t="n"/>
      <c r="BJ12" s="591" t="n"/>
      <c r="BK12" s="591" t="n"/>
      <c r="BL12" s="591" t="n"/>
      <c r="BM12" s="591" t="n"/>
      <c r="BN12" s="591" t="n"/>
      <c r="BO12" s="591" t="n"/>
      <c r="BP12" s="591" t="n"/>
      <c r="BQ12" s="591" t="n"/>
      <c r="BR12" s="591" t="n"/>
      <c r="BS12" s="591" t="n"/>
      <c r="BT12" s="591" t="n"/>
      <c r="BU12" s="591" t="n"/>
      <c r="BV12" s="591" t="n"/>
      <c r="BW12" s="591" t="n"/>
      <c r="BX12" s="591" t="n"/>
      <c r="BY12" s="591" t="n"/>
      <c r="BZ12" s="591" t="n"/>
      <c r="CA12" s="591" t="n"/>
      <c r="CB12" s="591" t="n"/>
      <c r="CC12" s="591" t="n"/>
      <c r="CD12" s="591" t="n"/>
      <c r="CE12" s="591" t="n"/>
      <c r="CF12" s="591" t="n"/>
      <c r="CG12" s="591" t="n"/>
      <c r="CH12" s="591" t="n"/>
      <c r="CI12" s="591" t="n"/>
      <c r="CJ12" s="591" t="n"/>
      <c r="CK12" s="591" t="n"/>
      <c r="CL12" s="591" t="n"/>
      <c r="CM12" s="591" t="n"/>
      <c r="CN12" s="591" t="n"/>
      <c r="CO12" s="591" t="n"/>
    </row>
    <row r="13" ht="18" customHeight="1" s="562">
      <c r="A13" s="684" t="n">
        <v>45971</v>
      </c>
      <c r="B13" s="685" t="inlineStr">
        <is>
          <t>Monday</t>
        </is>
      </c>
      <c r="C13" s="718" t="inlineStr">
        <is>
          <t>Johnstons</t>
        </is>
      </c>
      <c r="D13" s="708" t="inlineStr">
        <is>
          <t xml:space="preserve">Androulla </t>
        </is>
      </c>
      <c r="E13" s="719" t="n"/>
      <c r="F13" s="674" t="inlineStr">
        <is>
          <t>Apie</t>
        </is>
      </c>
      <c r="G13" s="675" t="inlineStr">
        <is>
          <t>Hennie</t>
        </is>
      </c>
      <c r="H13" s="676" t="n"/>
      <c r="I13" s="677" t="inlineStr">
        <is>
          <t xml:space="preserve">Elizabeth </t>
        </is>
      </c>
      <c r="J13" s="690" t="inlineStr">
        <is>
          <t>Johan Bierman</t>
        </is>
      </c>
      <c r="K13" s="673" t="n"/>
      <c r="L13" s="679" t="n"/>
      <c r="M13" s="673" t="n"/>
      <c r="N13" s="676" t="n"/>
      <c r="O13" s="714" t="inlineStr">
        <is>
          <t>Van Vuuren</t>
        </is>
      </c>
      <c r="P13" s="692" t="inlineStr">
        <is>
          <t xml:space="preserve">Roos </t>
        </is>
      </c>
      <c r="Q13" s="673" t="n"/>
      <c r="R13" s="693" t="inlineStr">
        <is>
          <t xml:space="preserve">Boets </t>
        </is>
      </c>
      <c r="S13" s="688" t="inlineStr">
        <is>
          <t>Jacomina</t>
        </is>
      </c>
      <c r="T13" s="673" t="n"/>
      <c r="U13" s="673" t="n"/>
      <c r="V13" s="591" t="n"/>
      <c r="W13" s="591" t="n"/>
      <c r="X13" s="591" t="n"/>
      <c r="Y13" s="591" t="n"/>
      <c r="Z13" s="591" t="n"/>
      <c r="AA13" s="591" t="n"/>
      <c r="AB13" s="591" t="n"/>
      <c r="AC13" s="591" t="n"/>
      <c r="AD13" s="591" t="n"/>
      <c r="AE13" s="591" t="n"/>
      <c r="AF13" s="591" t="n"/>
      <c r="AG13" s="591" t="n"/>
      <c r="AH13" s="591" t="n"/>
      <c r="AI13" s="591" t="n"/>
      <c r="AJ13" s="591" t="n"/>
      <c r="AK13" s="591" t="n"/>
      <c r="AL13" s="591" t="n"/>
      <c r="AM13" s="591" t="n"/>
      <c r="AN13" s="591" t="n"/>
      <c r="AO13" s="591" t="n"/>
      <c r="AP13" s="591" t="n"/>
      <c r="AQ13" s="591" t="n"/>
      <c r="AR13" s="591" t="n"/>
      <c r="AS13" s="591" t="n"/>
      <c r="AT13" s="591" t="n"/>
      <c r="AU13" s="591" t="n"/>
      <c r="AV13" s="591" t="n"/>
      <c r="AW13" s="591" t="n"/>
      <c r="AX13" s="591" t="n"/>
      <c r="AY13" s="591" t="n"/>
      <c r="AZ13" s="591" t="n"/>
      <c r="BA13" s="591" t="n"/>
      <c r="BB13" s="591" t="n"/>
      <c r="BC13" s="591" t="n"/>
      <c r="BD13" s="591" t="n"/>
      <c r="BE13" s="591" t="n"/>
      <c r="BF13" s="591" t="n"/>
      <c r="BG13" s="591" t="n"/>
      <c r="BH13" s="591" t="n"/>
      <c r="BI13" s="591" t="n"/>
      <c r="BJ13" s="591" t="n"/>
      <c r="BK13" s="591" t="n"/>
      <c r="BL13" s="591" t="n"/>
      <c r="BM13" s="591" t="n"/>
      <c r="BN13" s="591" t="n"/>
      <c r="BO13" s="591" t="n"/>
      <c r="BP13" s="591" t="n"/>
      <c r="BQ13" s="591" t="n"/>
      <c r="BR13" s="591" t="n"/>
      <c r="BS13" s="591" t="n"/>
      <c r="BT13" s="591" t="n"/>
      <c r="BU13" s="591" t="n"/>
      <c r="BV13" s="591" t="n"/>
      <c r="BW13" s="591" t="n"/>
      <c r="BX13" s="591" t="n"/>
      <c r="BY13" s="591" t="n"/>
      <c r="BZ13" s="591" t="n"/>
      <c r="CA13" s="591" t="n"/>
      <c r="CB13" s="591" t="n"/>
      <c r="CC13" s="591" t="n"/>
      <c r="CD13" s="591" t="n"/>
      <c r="CE13" s="591" t="n"/>
      <c r="CF13" s="591" t="n"/>
      <c r="CG13" s="591" t="n"/>
      <c r="CH13" s="591" t="n"/>
      <c r="CI13" s="591" t="n"/>
      <c r="CJ13" s="591" t="n"/>
      <c r="CK13" s="591" t="n"/>
      <c r="CL13" s="591" t="n"/>
      <c r="CM13" s="591" t="n"/>
      <c r="CN13" s="591" t="n"/>
      <c r="CO13" s="591" t="n"/>
    </row>
    <row r="14" ht="18" customHeight="1" s="562">
      <c r="A14" s="684" t="n">
        <v>45972</v>
      </c>
      <c r="B14" s="685" t="inlineStr">
        <is>
          <t>Tuesday</t>
        </is>
      </c>
      <c r="C14" s="720" t="inlineStr">
        <is>
          <t>Johnstons</t>
        </is>
      </c>
      <c r="D14" s="708" t="inlineStr">
        <is>
          <t xml:space="preserve">Androulla </t>
        </is>
      </c>
      <c r="E14" s="679" t="n"/>
      <c r="F14" s="695" t="inlineStr">
        <is>
          <t>Apie</t>
        </is>
      </c>
      <c r="G14" s="687" t="inlineStr">
        <is>
          <t>Hennie</t>
        </is>
      </c>
      <c r="H14" s="676" t="n"/>
      <c r="I14" s="677" t="inlineStr">
        <is>
          <t xml:space="preserve">Elizabeth </t>
        </is>
      </c>
      <c r="J14" s="697" t="inlineStr">
        <is>
          <t>Johan Bierman</t>
        </is>
      </c>
      <c r="K14" s="673" t="n"/>
      <c r="L14" s="679" t="n"/>
      <c r="M14" s="673" t="n"/>
      <c r="N14" s="676" t="n"/>
      <c r="O14" s="714" t="inlineStr">
        <is>
          <t>Van Vuuren</t>
        </is>
      </c>
      <c r="P14" s="698" t="inlineStr">
        <is>
          <t xml:space="preserve">Roos </t>
        </is>
      </c>
      <c r="Q14" s="673" t="n"/>
      <c r="R14" s="699" t="inlineStr">
        <is>
          <t xml:space="preserve">Boets </t>
        </is>
      </c>
      <c r="S14" s="688" t="inlineStr">
        <is>
          <t>Jacomina</t>
        </is>
      </c>
      <c r="T14" s="673" t="n"/>
      <c r="U14" s="673" t="n"/>
      <c r="V14" s="591" t="n"/>
      <c r="W14" s="591" t="n"/>
      <c r="X14" s="591" t="n"/>
      <c r="Y14" s="591" t="n"/>
      <c r="Z14" s="591" t="n"/>
      <c r="AA14" s="591" t="n"/>
      <c r="AB14" s="591" t="n"/>
      <c r="AC14" s="591" t="n"/>
      <c r="AD14" s="591" t="n"/>
      <c r="AE14" s="591" t="n"/>
      <c r="AF14" s="591" t="n"/>
      <c r="AG14" s="591" t="n"/>
      <c r="AH14" s="591" t="n"/>
      <c r="AI14" s="591" t="n"/>
      <c r="AJ14" s="591" t="n"/>
      <c r="AK14" s="591" t="n"/>
      <c r="AL14" s="591" t="n"/>
      <c r="AM14" s="591" t="n"/>
      <c r="AN14" s="591" t="n"/>
      <c r="AO14" s="591" t="n"/>
      <c r="AP14" s="591" t="n"/>
      <c r="AQ14" s="591" t="n"/>
      <c r="AR14" s="591" t="n"/>
      <c r="AS14" s="591" t="n"/>
      <c r="AT14" s="591" t="n"/>
      <c r="AU14" s="591" t="n"/>
      <c r="AV14" s="591" t="n"/>
      <c r="AW14" s="591" t="n"/>
      <c r="AX14" s="591" t="n"/>
      <c r="AY14" s="591" t="n"/>
      <c r="AZ14" s="591" t="n"/>
      <c r="BA14" s="591" t="n"/>
      <c r="BB14" s="591" t="n"/>
      <c r="BC14" s="591" t="n"/>
      <c r="BD14" s="591" t="n"/>
      <c r="BE14" s="591" t="n"/>
      <c r="BF14" s="591" t="n"/>
      <c r="BG14" s="591" t="n"/>
      <c r="BH14" s="591" t="n"/>
      <c r="BI14" s="591" t="n"/>
      <c r="BJ14" s="591" t="n"/>
      <c r="BK14" s="591" t="n"/>
      <c r="BL14" s="591" t="n"/>
      <c r="BM14" s="591" t="n"/>
      <c r="BN14" s="591" t="n"/>
      <c r="BO14" s="591" t="n"/>
      <c r="BP14" s="591" t="n"/>
      <c r="BQ14" s="591" t="n"/>
      <c r="BR14" s="591" t="n"/>
      <c r="BS14" s="591" t="n"/>
      <c r="BT14" s="591" t="n"/>
      <c r="BU14" s="591" t="n"/>
      <c r="BV14" s="591" t="n"/>
      <c r="BW14" s="591" t="n"/>
      <c r="BX14" s="591" t="n"/>
      <c r="BY14" s="591" t="n"/>
      <c r="BZ14" s="591" t="n"/>
      <c r="CA14" s="591" t="n"/>
      <c r="CB14" s="591" t="n"/>
      <c r="CC14" s="591" t="n"/>
      <c r="CD14" s="591" t="n"/>
      <c r="CE14" s="591" t="n"/>
      <c r="CF14" s="591" t="n"/>
      <c r="CG14" s="591" t="n"/>
      <c r="CH14" s="591" t="n"/>
      <c r="CI14" s="591" t="n"/>
      <c r="CJ14" s="591" t="n"/>
      <c r="CK14" s="591" t="n"/>
      <c r="CL14" s="591" t="n"/>
      <c r="CM14" s="591" t="n"/>
      <c r="CN14" s="591" t="n"/>
      <c r="CO14" s="591" t="n"/>
    </row>
    <row r="15" ht="18" customHeight="1" s="562">
      <c r="A15" s="684" t="n">
        <v>45973</v>
      </c>
      <c r="B15" s="685" t="inlineStr">
        <is>
          <t>Wednesday</t>
        </is>
      </c>
      <c r="C15" s="720" t="inlineStr">
        <is>
          <t>Johnstons</t>
        </is>
      </c>
      <c r="D15" s="708" t="inlineStr">
        <is>
          <t xml:space="preserve">Androulla </t>
        </is>
      </c>
      <c r="E15" s="679" t="n"/>
      <c r="F15" s="695" t="inlineStr">
        <is>
          <t>Apie</t>
        </is>
      </c>
      <c r="G15" s="687" t="inlineStr">
        <is>
          <t>Hennie</t>
        </is>
      </c>
      <c r="H15" s="676" t="n"/>
      <c r="I15" s="677" t="inlineStr">
        <is>
          <t xml:space="preserve">Elizabeth </t>
        </is>
      </c>
      <c r="J15" s="697" t="inlineStr">
        <is>
          <t>Johan Bierman</t>
        </is>
      </c>
      <c r="K15" s="673" t="n"/>
      <c r="L15" s="679" t="n"/>
      <c r="M15" s="673" t="n"/>
      <c r="N15" s="676" t="n"/>
      <c r="O15" s="714" t="inlineStr">
        <is>
          <t>Van Vuuren</t>
        </is>
      </c>
      <c r="P15" s="698" t="inlineStr">
        <is>
          <t xml:space="preserve">Roos </t>
        </is>
      </c>
      <c r="Q15" s="673" t="n"/>
      <c r="R15" s="699" t="inlineStr">
        <is>
          <t xml:space="preserve">Boets </t>
        </is>
      </c>
      <c r="S15" s="688" t="inlineStr">
        <is>
          <t>Jacomina</t>
        </is>
      </c>
      <c r="T15" s="673" t="n"/>
      <c r="U15" s="673" t="n"/>
      <c r="V15" s="591" t="n"/>
      <c r="W15" s="591" t="n"/>
      <c r="X15" s="591" t="n"/>
      <c r="Y15" s="591" t="n"/>
      <c r="Z15" s="591" t="n"/>
      <c r="AA15" s="591" t="n"/>
      <c r="AB15" s="591" t="n"/>
      <c r="AC15" s="591" t="n"/>
      <c r="AD15" s="591" t="n"/>
      <c r="AE15" s="591" t="n"/>
      <c r="AF15" s="591" t="n"/>
      <c r="AG15" s="591" t="n"/>
      <c r="AH15" s="591" t="n"/>
      <c r="AI15" s="591" t="n"/>
      <c r="AJ15" s="591" t="n"/>
      <c r="AK15" s="591" t="n"/>
      <c r="AL15" s="591" t="n"/>
      <c r="AM15" s="591" t="n"/>
      <c r="AN15" s="591" t="n"/>
      <c r="AO15" s="591" t="n"/>
      <c r="AP15" s="591" t="n"/>
      <c r="AQ15" s="591" t="n"/>
      <c r="AR15" s="591" t="n"/>
      <c r="AS15" s="591" t="n"/>
      <c r="AT15" s="591" t="n"/>
      <c r="AU15" s="591" t="n"/>
      <c r="AV15" s="591" t="n"/>
      <c r="AW15" s="591" t="n"/>
      <c r="AX15" s="591" t="n"/>
      <c r="AY15" s="591" t="n"/>
      <c r="AZ15" s="591" t="n"/>
      <c r="BA15" s="591" t="n"/>
      <c r="BB15" s="591" t="n"/>
      <c r="BC15" s="591" t="n"/>
      <c r="BD15" s="591" t="n"/>
      <c r="BE15" s="591" t="n"/>
      <c r="BF15" s="591" t="n"/>
      <c r="BG15" s="591" t="n"/>
      <c r="BH15" s="591" t="n"/>
      <c r="BI15" s="591" t="n"/>
      <c r="BJ15" s="591" t="n"/>
      <c r="BK15" s="591" t="n"/>
      <c r="BL15" s="591" t="n"/>
      <c r="BM15" s="591" t="n"/>
      <c r="BN15" s="591" t="n"/>
      <c r="BO15" s="591" t="n"/>
      <c r="BP15" s="591" t="n"/>
      <c r="BQ15" s="591" t="n"/>
      <c r="BR15" s="591" t="n"/>
      <c r="BS15" s="591" t="n"/>
      <c r="BT15" s="591" t="n"/>
      <c r="BU15" s="591" t="n"/>
      <c r="BV15" s="591" t="n"/>
      <c r="BW15" s="591" t="n"/>
      <c r="BX15" s="591" t="n"/>
      <c r="BY15" s="591" t="n"/>
      <c r="BZ15" s="591" t="n"/>
      <c r="CA15" s="591" t="n"/>
      <c r="CB15" s="591" t="n"/>
      <c r="CC15" s="591" t="n"/>
      <c r="CD15" s="591" t="n"/>
      <c r="CE15" s="591" t="n"/>
      <c r="CF15" s="591" t="n"/>
      <c r="CG15" s="591" t="n"/>
      <c r="CH15" s="591" t="n"/>
      <c r="CI15" s="591" t="n"/>
      <c r="CJ15" s="591" t="n"/>
      <c r="CK15" s="591" t="n"/>
      <c r="CL15" s="591" t="n"/>
      <c r="CM15" s="591" t="n"/>
      <c r="CN15" s="591" t="n"/>
      <c r="CO15" s="591" t="n"/>
    </row>
    <row r="16" ht="18.75" customHeight="1" s="562">
      <c r="A16" s="684" t="n">
        <v>45974</v>
      </c>
      <c r="B16" s="685" t="inlineStr">
        <is>
          <t>Thursday</t>
        </is>
      </c>
      <c r="C16" s="702" t="inlineStr">
        <is>
          <t>Johnstons</t>
        </is>
      </c>
      <c r="D16" s="708" t="inlineStr">
        <is>
          <t xml:space="preserve">Androulla </t>
        </is>
      </c>
      <c r="E16" s="679" t="n"/>
      <c r="F16" s="686" t="inlineStr">
        <is>
          <t>Apie</t>
        </is>
      </c>
      <c r="G16" s="687" t="inlineStr">
        <is>
          <t>Hennie</t>
        </is>
      </c>
      <c r="H16" s="676" t="n"/>
      <c r="I16" s="677" t="inlineStr">
        <is>
          <t xml:space="preserve">Elizabeth </t>
        </is>
      </c>
      <c r="J16" s="697" t="inlineStr">
        <is>
          <t>Johan Bierman</t>
        </is>
      </c>
      <c r="K16" s="673" t="n"/>
      <c r="L16" s="679" t="n"/>
      <c r="M16" s="673" t="n"/>
      <c r="N16" s="676" t="n"/>
      <c r="O16" s="721" t="inlineStr">
        <is>
          <t>Van Vuuren</t>
        </is>
      </c>
      <c r="P16" s="698" t="inlineStr">
        <is>
          <t xml:space="preserve">Roos </t>
        </is>
      </c>
      <c r="Q16" s="673" t="n"/>
      <c r="R16" s="699" t="inlineStr">
        <is>
          <t xml:space="preserve">Boets </t>
        </is>
      </c>
      <c r="S16" s="688" t="inlineStr">
        <is>
          <t>Jacomina</t>
        </is>
      </c>
      <c r="T16" s="673" t="n"/>
      <c r="U16" s="673" t="n"/>
      <c r="V16" s="591" t="n"/>
      <c r="W16" s="591" t="n"/>
      <c r="X16" s="591" t="n"/>
      <c r="Y16" s="591" t="n"/>
      <c r="Z16" s="591" t="n"/>
      <c r="AA16" s="591" t="n"/>
      <c r="AB16" s="591" t="n"/>
      <c r="AC16" s="591" t="n"/>
      <c r="AD16" s="591" t="n"/>
      <c r="AE16" s="591" t="n"/>
      <c r="AF16" s="591" t="n"/>
      <c r="AG16" s="591" t="n"/>
      <c r="AH16" s="591" t="n"/>
      <c r="AI16" s="591" t="n"/>
      <c r="AJ16" s="591" t="n"/>
      <c r="AK16" s="591" t="n"/>
      <c r="AL16" s="591" t="n"/>
      <c r="AM16" s="591" t="n"/>
      <c r="AN16" s="591" t="n"/>
      <c r="AO16" s="591" t="n"/>
      <c r="AP16" s="591" t="n"/>
      <c r="AQ16" s="591" t="n"/>
      <c r="AR16" s="591" t="n"/>
      <c r="AS16" s="591" t="n"/>
      <c r="AT16" s="591" t="n"/>
      <c r="AU16" s="591" t="n"/>
      <c r="AV16" s="591" t="n"/>
      <c r="AW16" s="591" t="n"/>
      <c r="AX16" s="591" t="n"/>
      <c r="AY16" s="591" t="n"/>
      <c r="AZ16" s="591" t="n"/>
      <c r="BA16" s="591" t="n"/>
      <c r="BB16" s="591" t="n"/>
      <c r="BC16" s="591" t="n"/>
      <c r="BD16" s="591" t="n"/>
      <c r="BE16" s="591" t="n"/>
      <c r="BF16" s="591" t="n"/>
      <c r="BG16" s="591" t="n"/>
      <c r="BH16" s="591" t="n"/>
      <c r="BI16" s="591" t="n"/>
      <c r="BJ16" s="591" t="n"/>
      <c r="BK16" s="591" t="n"/>
      <c r="BL16" s="591" t="n"/>
      <c r="BM16" s="591" t="n"/>
      <c r="BN16" s="591" t="n"/>
      <c r="BO16" s="591" t="n"/>
      <c r="BP16" s="591" t="n"/>
      <c r="BQ16" s="591" t="n"/>
      <c r="BR16" s="591" t="n"/>
      <c r="BS16" s="591" t="n"/>
      <c r="BT16" s="591" t="n"/>
      <c r="BU16" s="591" t="n"/>
      <c r="BV16" s="591" t="n"/>
      <c r="BW16" s="591" t="n"/>
      <c r="BX16" s="591" t="n"/>
      <c r="BY16" s="591" t="n"/>
      <c r="BZ16" s="591" t="n"/>
      <c r="CA16" s="591" t="n"/>
      <c r="CB16" s="591" t="n"/>
      <c r="CC16" s="591" t="n"/>
      <c r="CD16" s="591" t="n"/>
      <c r="CE16" s="591" t="n"/>
      <c r="CF16" s="591" t="n"/>
      <c r="CG16" s="591" t="n"/>
      <c r="CH16" s="591" t="n"/>
      <c r="CI16" s="591" t="n"/>
      <c r="CJ16" s="591" t="n"/>
      <c r="CK16" s="591" t="n"/>
      <c r="CL16" s="591" t="n"/>
      <c r="CM16" s="591" t="n"/>
      <c r="CN16" s="591" t="n"/>
      <c r="CO16" s="591" t="n"/>
    </row>
    <row r="17" ht="18.75" customHeight="1" s="562">
      <c r="A17" s="684" t="n">
        <v>45975</v>
      </c>
      <c r="B17" s="685" t="inlineStr">
        <is>
          <t>Friday</t>
        </is>
      </c>
      <c r="C17" s="676" t="n"/>
      <c r="D17" s="708" t="inlineStr">
        <is>
          <t xml:space="preserve">Androulla </t>
        </is>
      </c>
      <c r="E17" s="591" t="n"/>
      <c r="F17" s="717" t="n"/>
      <c r="G17" s="722" t="inlineStr">
        <is>
          <t>Hennie</t>
        </is>
      </c>
      <c r="H17" s="676" t="n"/>
      <c r="I17" s="673" t="n"/>
      <c r="J17" s="709" t="inlineStr">
        <is>
          <t>Johan Bierman</t>
        </is>
      </c>
      <c r="K17" s="673" t="n"/>
      <c r="L17" s="679" t="n"/>
      <c r="M17" s="718" t="inlineStr">
        <is>
          <t>Johnstons</t>
        </is>
      </c>
      <c r="N17" s="723" t="inlineStr">
        <is>
          <t>Van Vuuren</t>
        </is>
      </c>
      <c r="O17" s="679" t="n"/>
      <c r="P17" s="711" t="inlineStr">
        <is>
          <t xml:space="preserve">Roos </t>
        </is>
      </c>
      <c r="Q17" s="673" t="n"/>
      <c r="R17" s="712" t="inlineStr">
        <is>
          <t xml:space="preserve">Boets </t>
        </is>
      </c>
      <c r="S17" s="688" t="inlineStr">
        <is>
          <t>Jacomina</t>
        </is>
      </c>
      <c r="T17" s="674" t="inlineStr">
        <is>
          <t>Apie</t>
        </is>
      </c>
      <c r="U17" s="673" t="n"/>
      <c r="V17" s="591" t="n"/>
      <c r="W17" s="591" t="n"/>
      <c r="X17" s="591" t="n"/>
      <c r="Y17" s="591" t="n"/>
      <c r="Z17" s="591" t="n"/>
      <c r="AA17" s="591" t="n"/>
      <c r="AB17" s="591" t="n"/>
      <c r="AC17" s="591" t="n"/>
      <c r="AD17" s="591" t="n"/>
      <c r="AE17" s="591" t="n"/>
      <c r="AF17" s="591" t="n"/>
      <c r="AG17" s="591" t="n"/>
      <c r="AH17" s="591" t="n"/>
      <c r="AI17" s="591" t="n"/>
      <c r="AJ17" s="591" t="n"/>
      <c r="AK17" s="591" t="n"/>
      <c r="AL17" s="591" t="n"/>
      <c r="AM17" s="591" t="n"/>
      <c r="AN17" s="591" t="n"/>
      <c r="AO17" s="591" t="n"/>
      <c r="AP17" s="591" t="n"/>
      <c r="AQ17" s="591" t="n"/>
      <c r="AR17" s="591" t="n"/>
      <c r="AS17" s="591" t="n"/>
      <c r="AT17" s="591" t="n"/>
      <c r="AU17" s="591" t="n"/>
      <c r="AV17" s="591" t="n"/>
      <c r="AW17" s="591" t="n"/>
      <c r="AX17" s="591" t="n"/>
      <c r="AY17" s="591" t="n"/>
      <c r="AZ17" s="591" t="n"/>
      <c r="BA17" s="591" t="n"/>
      <c r="BB17" s="591" t="n"/>
      <c r="BC17" s="591" t="n"/>
      <c r="BD17" s="591" t="n"/>
      <c r="BE17" s="591" t="n"/>
      <c r="BF17" s="591" t="n"/>
      <c r="BG17" s="591" t="n"/>
      <c r="BH17" s="591" t="n"/>
      <c r="BI17" s="591" t="n"/>
      <c r="BJ17" s="591" t="n"/>
      <c r="BK17" s="591" t="n"/>
      <c r="BL17" s="591" t="n"/>
      <c r="BM17" s="591" t="n"/>
      <c r="BN17" s="591" t="n"/>
      <c r="BO17" s="591" t="n"/>
      <c r="BP17" s="591" t="n"/>
      <c r="BQ17" s="591" t="n"/>
      <c r="BR17" s="591" t="n"/>
      <c r="BS17" s="591" t="n"/>
      <c r="BT17" s="591" t="n"/>
      <c r="BU17" s="591" t="n"/>
      <c r="BV17" s="591" t="n"/>
      <c r="BW17" s="591" t="n"/>
      <c r="BX17" s="591" t="n"/>
      <c r="BY17" s="591" t="n"/>
      <c r="BZ17" s="591" t="n"/>
      <c r="CA17" s="591" t="n"/>
      <c r="CB17" s="591" t="n"/>
      <c r="CC17" s="591" t="n"/>
      <c r="CD17" s="591" t="n"/>
      <c r="CE17" s="591" t="n"/>
      <c r="CF17" s="591" t="n"/>
      <c r="CG17" s="591" t="n"/>
      <c r="CH17" s="591" t="n"/>
      <c r="CI17" s="591" t="n"/>
      <c r="CJ17" s="591" t="n"/>
      <c r="CK17" s="591" t="n"/>
      <c r="CL17" s="591" t="n"/>
      <c r="CM17" s="591" t="n"/>
      <c r="CN17" s="591" t="n"/>
      <c r="CO17" s="591" t="n"/>
    </row>
    <row r="18" ht="18.75" customHeight="1" s="562">
      <c r="A18" s="684" t="n">
        <v>45976</v>
      </c>
      <c r="B18" s="685" t="inlineStr">
        <is>
          <t>Saturday</t>
        </is>
      </c>
      <c r="C18" s="676" t="n"/>
      <c r="D18" s="708" t="inlineStr">
        <is>
          <t xml:space="preserve">Androulla </t>
        </is>
      </c>
      <c r="E18" s="591" t="n"/>
      <c r="F18" s="673" t="n"/>
      <c r="G18" s="722" t="inlineStr">
        <is>
          <t>Hennie</t>
        </is>
      </c>
      <c r="H18" s="676" t="n"/>
      <c r="I18" s="673" t="n"/>
      <c r="J18" s="591" t="n"/>
      <c r="K18" s="673" t="n"/>
      <c r="L18" s="679" t="n"/>
      <c r="M18" s="720" t="inlineStr">
        <is>
          <t>Johnstons</t>
        </is>
      </c>
      <c r="N18" s="714" t="inlineStr">
        <is>
          <t>Van Vuuren</t>
        </is>
      </c>
      <c r="O18" s="679" t="n"/>
      <c r="P18" s="676" t="n"/>
      <c r="Q18" s="673" t="n"/>
      <c r="R18" s="679" t="n"/>
      <c r="S18" s="724" t="inlineStr">
        <is>
          <t>Jacomina</t>
        </is>
      </c>
      <c r="T18" s="695" t="inlineStr">
        <is>
          <t>Apie</t>
        </is>
      </c>
      <c r="U18" s="673" t="n"/>
      <c r="V18" s="591" t="n"/>
      <c r="W18" s="591" t="n"/>
      <c r="X18" s="591" t="n"/>
      <c r="Y18" s="591" t="n"/>
      <c r="Z18" s="591" t="n"/>
      <c r="AA18" s="591" t="n"/>
      <c r="AB18" s="591" t="n"/>
      <c r="AC18" s="591" t="n"/>
      <c r="AD18" s="591" t="n"/>
      <c r="AE18" s="591" t="n"/>
      <c r="AF18" s="591" t="n"/>
      <c r="AG18" s="591" t="n"/>
      <c r="AH18" s="591" t="n"/>
      <c r="AI18" s="591" t="n"/>
      <c r="AJ18" s="591" t="n"/>
      <c r="AK18" s="591" t="n"/>
      <c r="AL18" s="591" t="n"/>
      <c r="AM18" s="591" t="n"/>
      <c r="AN18" s="591" t="n"/>
      <c r="AO18" s="591" t="n"/>
      <c r="AP18" s="591" t="n"/>
      <c r="AQ18" s="591" t="n"/>
      <c r="AR18" s="591" t="n"/>
      <c r="AS18" s="591" t="n"/>
      <c r="AT18" s="591" t="n"/>
      <c r="AU18" s="591" t="n"/>
      <c r="AV18" s="591" t="n"/>
      <c r="AW18" s="591" t="n"/>
      <c r="AX18" s="591" t="n"/>
      <c r="AY18" s="591" t="n"/>
      <c r="AZ18" s="591" t="n"/>
      <c r="BA18" s="591" t="n"/>
      <c r="BB18" s="591" t="n"/>
      <c r="BC18" s="591" t="n"/>
      <c r="BD18" s="591" t="n"/>
      <c r="BE18" s="591" t="n"/>
      <c r="BF18" s="591" t="n"/>
      <c r="BG18" s="591" t="n"/>
      <c r="BH18" s="591" t="n"/>
      <c r="BI18" s="591" t="n"/>
      <c r="BJ18" s="591" t="n"/>
      <c r="BK18" s="591" t="n"/>
      <c r="BL18" s="591" t="n"/>
      <c r="BM18" s="591" t="n"/>
      <c r="BN18" s="591" t="n"/>
      <c r="BO18" s="591" t="n"/>
      <c r="BP18" s="591" t="n"/>
      <c r="BQ18" s="591" t="n"/>
      <c r="BR18" s="591" t="n"/>
      <c r="BS18" s="591" t="n"/>
      <c r="BT18" s="591" t="n"/>
      <c r="BU18" s="591" t="n"/>
      <c r="BV18" s="591" t="n"/>
      <c r="BW18" s="591" t="n"/>
      <c r="BX18" s="591" t="n"/>
      <c r="BY18" s="591" t="n"/>
      <c r="BZ18" s="591" t="n"/>
      <c r="CA18" s="591" t="n"/>
      <c r="CB18" s="591" t="n"/>
      <c r="CC18" s="591" t="n"/>
      <c r="CD18" s="591" t="n"/>
      <c r="CE18" s="591" t="n"/>
      <c r="CF18" s="591" t="n"/>
      <c r="CG18" s="591" t="n"/>
      <c r="CH18" s="591" t="n"/>
      <c r="CI18" s="591" t="n"/>
      <c r="CJ18" s="591" t="n"/>
      <c r="CK18" s="591" t="n"/>
      <c r="CL18" s="591" t="n"/>
      <c r="CM18" s="591" t="n"/>
      <c r="CN18" s="591" t="n"/>
      <c r="CO18" s="591" t="n"/>
    </row>
    <row r="19" ht="18.75" customHeight="1" s="562">
      <c r="A19" s="684" t="n">
        <v>45977</v>
      </c>
      <c r="B19" s="685" t="inlineStr">
        <is>
          <t>Sunday</t>
        </is>
      </c>
      <c r="C19" s="676" t="n"/>
      <c r="D19" s="708" t="inlineStr">
        <is>
          <t xml:space="preserve">Androulla </t>
        </is>
      </c>
      <c r="E19" s="591" t="n"/>
      <c r="F19" s="673" t="n"/>
      <c r="G19" s="725" t="n"/>
      <c r="H19" s="676" t="n"/>
      <c r="I19" s="673" t="n"/>
      <c r="J19" s="591" t="n"/>
      <c r="K19" s="673" t="n"/>
      <c r="L19" s="679" t="n"/>
      <c r="M19" s="702" t="inlineStr">
        <is>
          <t>Johnstons</t>
        </is>
      </c>
      <c r="N19" s="714" t="inlineStr">
        <is>
          <t>Van Vuuren</t>
        </is>
      </c>
      <c r="O19" s="679" t="n"/>
      <c r="P19" s="676" t="n"/>
      <c r="Q19" s="726" t="inlineStr">
        <is>
          <t xml:space="preserve">Hatton </t>
        </is>
      </c>
      <c r="R19" s="679" t="n"/>
      <c r="S19" s="688" t="inlineStr">
        <is>
          <t>Jacomina</t>
        </is>
      </c>
      <c r="T19" s="695" t="inlineStr">
        <is>
          <t>Apie</t>
        </is>
      </c>
      <c r="U19" s="727" t="inlineStr">
        <is>
          <t>Hillery</t>
        </is>
      </c>
      <c r="V19" s="591" t="n"/>
      <c r="W19" s="591" t="n"/>
      <c r="X19" s="591" t="n"/>
      <c r="Y19" s="591" t="n"/>
      <c r="Z19" s="591" t="n"/>
      <c r="AA19" s="591" t="n"/>
      <c r="AB19" s="591" t="n"/>
      <c r="AC19" s="591" t="n"/>
      <c r="AD19" s="591" t="n"/>
      <c r="AE19" s="591" t="n"/>
      <c r="AF19" s="591" t="n"/>
      <c r="AG19" s="591" t="n"/>
      <c r="AH19" s="591" t="n"/>
      <c r="AI19" s="591" t="n"/>
      <c r="AJ19" s="591" t="n"/>
      <c r="AK19" s="591" t="n"/>
      <c r="AL19" s="591" t="n"/>
      <c r="AM19" s="591" t="n"/>
      <c r="AN19" s="591" t="n"/>
      <c r="AO19" s="591" t="n"/>
      <c r="AP19" s="591" t="n"/>
      <c r="AQ19" s="591" t="n"/>
      <c r="AR19" s="591" t="n"/>
      <c r="AS19" s="591" t="n"/>
      <c r="AT19" s="591" t="n"/>
      <c r="AU19" s="591" t="n"/>
      <c r="AV19" s="591" t="n"/>
      <c r="AW19" s="591" t="n"/>
      <c r="AX19" s="591" t="n"/>
      <c r="AY19" s="591" t="n"/>
      <c r="AZ19" s="591" t="n"/>
      <c r="BA19" s="591" t="n"/>
      <c r="BB19" s="591" t="n"/>
      <c r="BC19" s="591" t="n"/>
      <c r="BD19" s="591" t="n"/>
      <c r="BE19" s="591" t="n"/>
      <c r="BF19" s="591" t="n"/>
      <c r="BG19" s="591" t="n"/>
      <c r="BH19" s="591" t="n"/>
      <c r="BI19" s="591" t="n"/>
      <c r="BJ19" s="591" t="n"/>
      <c r="BK19" s="591" t="n"/>
      <c r="BL19" s="591" t="n"/>
      <c r="BM19" s="591" t="n"/>
      <c r="BN19" s="591" t="n"/>
      <c r="BO19" s="591" t="n"/>
      <c r="BP19" s="591" t="n"/>
      <c r="BQ19" s="591" t="n"/>
      <c r="BR19" s="591" t="n"/>
      <c r="BS19" s="591" t="n"/>
      <c r="BT19" s="591" t="n"/>
      <c r="BU19" s="591" t="n"/>
      <c r="BV19" s="591" t="n"/>
      <c r="BW19" s="591" t="n"/>
      <c r="BX19" s="591" t="n"/>
      <c r="BY19" s="591" t="n"/>
      <c r="BZ19" s="591" t="n"/>
      <c r="CA19" s="591" t="n"/>
      <c r="CB19" s="591" t="n"/>
      <c r="CC19" s="591" t="n"/>
      <c r="CD19" s="591" t="n"/>
      <c r="CE19" s="591" t="n"/>
      <c r="CF19" s="591" t="n"/>
      <c r="CG19" s="591" t="n"/>
      <c r="CH19" s="591" t="n"/>
      <c r="CI19" s="591" t="n"/>
      <c r="CJ19" s="591" t="n"/>
      <c r="CK19" s="591" t="n"/>
      <c r="CL19" s="591" t="n"/>
      <c r="CM19" s="591" t="n"/>
      <c r="CN19" s="591" t="n"/>
      <c r="CO19" s="591" t="n"/>
    </row>
    <row r="20" ht="18.75" customHeight="1" s="562">
      <c r="A20" s="684" t="n">
        <v>45978</v>
      </c>
      <c r="B20" s="685" t="inlineStr">
        <is>
          <t>Monday</t>
        </is>
      </c>
      <c r="C20" s="718" t="inlineStr">
        <is>
          <t>Johnstons</t>
        </is>
      </c>
      <c r="D20" s="708" t="inlineStr">
        <is>
          <t xml:space="preserve">Androulla </t>
        </is>
      </c>
      <c r="E20" s="591" t="n"/>
      <c r="F20" s="673" t="n"/>
      <c r="G20" s="728" t="inlineStr">
        <is>
          <t>Hennie</t>
        </is>
      </c>
      <c r="H20" s="676" t="n"/>
      <c r="I20" s="673" t="n"/>
      <c r="J20" s="729" t="inlineStr">
        <is>
          <t>Johan Bierman</t>
        </is>
      </c>
      <c r="K20" s="673" t="n"/>
      <c r="L20" s="679" t="n"/>
      <c r="M20" s="676" t="n"/>
      <c r="N20" s="714" t="inlineStr">
        <is>
          <t>Van Vuuren</t>
        </is>
      </c>
      <c r="O20" s="591" t="n"/>
      <c r="P20" s="692" t="inlineStr">
        <is>
          <t xml:space="preserve">Roos </t>
        </is>
      </c>
      <c r="Q20" s="726" t="inlineStr">
        <is>
          <t xml:space="preserve">Hatton </t>
        </is>
      </c>
      <c r="R20" s="693" t="inlineStr">
        <is>
          <t xml:space="preserve">Boets </t>
        </is>
      </c>
      <c r="S20" s="688" t="inlineStr">
        <is>
          <t>Jacomina</t>
        </is>
      </c>
      <c r="T20" s="730" t="inlineStr">
        <is>
          <t>Apie</t>
        </is>
      </c>
      <c r="U20" s="731" t="n"/>
      <c r="V20" s="591" t="n"/>
      <c r="W20" s="591" t="n"/>
      <c r="X20" s="591" t="n"/>
      <c r="Y20" s="591" t="n"/>
      <c r="Z20" s="591" t="n"/>
      <c r="AA20" s="591" t="n"/>
      <c r="AB20" s="591" t="n"/>
      <c r="AC20" s="591" t="n"/>
      <c r="AD20" s="591" t="n"/>
      <c r="AE20" s="591" t="n"/>
      <c r="AF20" s="591" t="n"/>
      <c r="AG20" s="591" t="n"/>
      <c r="AH20" s="591" t="n"/>
      <c r="AI20" s="591" t="n"/>
      <c r="AJ20" s="591" t="n"/>
      <c r="AK20" s="591" t="n"/>
      <c r="AL20" s="591" t="n"/>
      <c r="AM20" s="591" t="n"/>
      <c r="AN20" s="591" t="n"/>
      <c r="AO20" s="591" t="n"/>
      <c r="AP20" s="591" t="n"/>
      <c r="AQ20" s="591" t="n"/>
      <c r="AR20" s="591" t="n"/>
      <c r="AS20" s="591" t="n"/>
      <c r="AT20" s="591" t="n"/>
      <c r="AU20" s="591" t="n"/>
      <c r="AV20" s="591" t="n"/>
      <c r="AW20" s="591" t="n"/>
      <c r="AX20" s="591" t="n"/>
      <c r="AY20" s="591" t="n"/>
      <c r="AZ20" s="591" t="n"/>
      <c r="BA20" s="591" t="n"/>
      <c r="BB20" s="591" t="n"/>
      <c r="BC20" s="591" t="n"/>
      <c r="BD20" s="591" t="n"/>
      <c r="BE20" s="591" t="n"/>
      <c r="BF20" s="591" t="n"/>
      <c r="BG20" s="591" t="n"/>
      <c r="BH20" s="591" t="n"/>
      <c r="BI20" s="591" t="n"/>
      <c r="BJ20" s="591" t="n"/>
      <c r="BK20" s="591" t="n"/>
      <c r="BL20" s="591" t="n"/>
      <c r="BM20" s="591" t="n"/>
      <c r="BN20" s="591" t="n"/>
      <c r="BO20" s="591" t="n"/>
      <c r="BP20" s="591" t="n"/>
      <c r="BQ20" s="591" t="n"/>
      <c r="BR20" s="591" t="n"/>
      <c r="BS20" s="591" t="n"/>
      <c r="BT20" s="591" t="n"/>
      <c r="BU20" s="591" t="n"/>
      <c r="BV20" s="591" t="n"/>
      <c r="BW20" s="591" t="n"/>
      <c r="BX20" s="591" t="n"/>
      <c r="BY20" s="591" t="n"/>
      <c r="BZ20" s="591" t="n"/>
      <c r="CA20" s="591" t="n"/>
      <c r="CB20" s="591" t="n"/>
      <c r="CC20" s="591" t="n"/>
      <c r="CD20" s="591" t="n"/>
      <c r="CE20" s="591" t="n"/>
      <c r="CF20" s="591" t="n"/>
      <c r="CG20" s="591" t="n"/>
      <c r="CH20" s="591" t="n"/>
      <c r="CI20" s="591" t="n"/>
      <c r="CJ20" s="591" t="n"/>
      <c r="CK20" s="591" t="n"/>
      <c r="CL20" s="591" t="n"/>
      <c r="CM20" s="591" t="n"/>
      <c r="CN20" s="591" t="n"/>
      <c r="CO20" s="591" t="n"/>
    </row>
    <row r="21" ht="18.75" customHeight="1" s="562">
      <c r="A21" s="684" t="n">
        <v>45979</v>
      </c>
      <c r="B21" s="685" t="inlineStr">
        <is>
          <t>Tuesday</t>
        </is>
      </c>
      <c r="C21" s="720" t="inlineStr">
        <is>
          <t>Johnstons</t>
        </is>
      </c>
      <c r="D21" s="708" t="inlineStr">
        <is>
          <t xml:space="preserve">Androulla </t>
        </is>
      </c>
      <c r="E21" s="591" t="n"/>
      <c r="F21" s="673" t="n"/>
      <c r="G21" s="728" t="inlineStr">
        <is>
          <t>Hennie</t>
        </is>
      </c>
      <c r="H21" s="676" t="n"/>
      <c r="I21" s="673" t="n"/>
      <c r="J21" s="732" t="inlineStr">
        <is>
          <t>Johan Bierman</t>
        </is>
      </c>
      <c r="K21" s="678" t="inlineStr">
        <is>
          <t>Jacomina</t>
        </is>
      </c>
      <c r="L21" s="679" t="n"/>
      <c r="M21" s="676" t="n"/>
      <c r="N21" s="714" t="inlineStr">
        <is>
          <t>Van Vuuren</t>
        </is>
      </c>
      <c r="O21" s="591" t="n"/>
      <c r="P21" s="698" t="inlineStr">
        <is>
          <t xml:space="preserve">Roos </t>
        </is>
      </c>
      <c r="Q21" s="673" t="n"/>
      <c r="R21" s="699" t="inlineStr">
        <is>
          <t xml:space="preserve">Boets </t>
        </is>
      </c>
      <c r="S21" s="733" t="n"/>
      <c r="T21" s="730" t="inlineStr">
        <is>
          <t>Apie</t>
        </is>
      </c>
      <c r="U21" s="733" t="n"/>
      <c r="V21" s="591" t="n"/>
      <c r="W21" s="591" t="n"/>
      <c r="X21" s="591" t="n"/>
      <c r="Y21" s="591" t="n"/>
      <c r="Z21" s="591" t="n"/>
      <c r="AA21" s="591" t="n"/>
      <c r="AB21" s="591" t="n"/>
      <c r="AC21" s="591" t="n"/>
      <c r="AD21" s="591" t="n"/>
      <c r="AE21" s="591" t="n"/>
      <c r="AF21" s="591" t="n"/>
      <c r="AG21" s="591" t="n"/>
      <c r="AH21" s="591" t="n"/>
      <c r="AI21" s="591" t="n"/>
      <c r="AJ21" s="591" t="n"/>
      <c r="AK21" s="591" t="n"/>
      <c r="AL21" s="591" t="n"/>
      <c r="AM21" s="591" t="n"/>
      <c r="AN21" s="591" t="n"/>
      <c r="AO21" s="591" t="n"/>
      <c r="AP21" s="591" t="n"/>
      <c r="AQ21" s="591" t="n"/>
      <c r="AR21" s="591" t="n"/>
      <c r="AS21" s="591" t="n"/>
      <c r="AT21" s="591" t="n"/>
      <c r="AU21" s="591" t="n"/>
      <c r="AV21" s="591" t="n"/>
      <c r="AW21" s="591" t="n"/>
      <c r="AX21" s="591" t="n"/>
      <c r="AY21" s="591" t="n"/>
      <c r="AZ21" s="591" t="n"/>
      <c r="BA21" s="591" t="n"/>
      <c r="BB21" s="591" t="n"/>
      <c r="BC21" s="591" t="n"/>
      <c r="BD21" s="591" t="n"/>
      <c r="BE21" s="591" t="n"/>
      <c r="BF21" s="591" t="n"/>
      <c r="BG21" s="591" t="n"/>
      <c r="BH21" s="591" t="n"/>
      <c r="BI21" s="591" t="n"/>
      <c r="BJ21" s="591" t="n"/>
      <c r="BK21" s="591" t="n"/>
      <c r="BL21" s="591" t="n"/>
      <c r="BM21" s="591" t="n"/>
      <c r="BN21" s="591" t="n"/>
      <c r="BO21" s="591" t="n"/>
      <c r="BP21" s="591" t="n"/>
      <c r="BQ21" s="591" t="n"/>
      <c r="BR21" s="591" t="n"/>
      <c r="BS21" s="591" t="n"/>
      <c r="BT21" s="591" t="n"/>
      <c r="BU21" s="591" t="n"/>
      <c r="BV21" s="591" t="n"/>
      <c r="BW21" s="591" t="n"/>
      <c r="BX21" s="591" t="n"/>
      <c r="BY21" s="591" t="n"/>
      <c r="BZ21" s="591" t="n"/>
      <c r="CA21" s="591" t="n"/>
      <c r="CB21" s="591" t="n"/>
      <c r="CC21" s="591" t="n"/>
      <c r="CD21" s="591" t="n"/>
      <c r="CE21" s="591" t="n"/>
      <c r="CF21" s="591" t="n"/>
      <c r="CG21" s="591" t="n"/>
      <c r="CH21" s="591" t="n"/>
      <c r="CI21" s="591" t="n"/>
      <c r="CJ21" s="591" t="n"/>
      <c r="CK21" s="591" t="n"/>
      <c r="CL21" s="591" t="n"/>
      <c r="CM21" s="591" t="n"/>
      <c r="CN21" s="591" t="n"/>
      <c r="CO21" s="591" t="n"/>
    </row>
    <row r="22" ht="18" customHeight="1" s="562">
      <c r="A22" s="684" t="n">
        <v>45980</v>
      </c>
      <c r="B22" s="685" t="inlineStr">
        <is>
          <t>Wednesday</t>
        </is>
      </c>
      <c r="C22" s="720" t="inlineStr">
        <is>
          <t>Johnstons</t>
        </is>
      </c>
      <c r="D22" s="708" t="inlineStr">
        <is>
          <t xml:space="preserve">Androulla </t>
        </is>
      </c>
      <c r="E22" s="591" t="n"/>
      <c r="F22" s="673" t="n"/>
      <c r="G22" s="734" t="inlineStr">
        <is>
          <t>Hennie</t>
        </is>
      </c>
      <c r="H22" s="676" t="n"/>
      <c r="I22" s="673" t="n"/>
      <c r="J22" s="732" t="inlineStr">
        <is>
          <t>Johan Bierman</t>
        </is>
      </c>
      <c r="K22" s="688" t="inlineStr">
        <is>
          <t>Jacomina</t>
        </is>
      </c>
      <c r="L22" s="679" t="n"/>
      <c r="M22" s="676" t="n"/>
      <c r="N22" s="714" t="inlineStr">
        <is>
          <t>Van Vuuren</t>
        </is>
      </c>
      <c r="O22" s="591" t="n"/>
      <c r="P22" s="698" t="inlineStr">
        <is>
          <t xml:space="preserve">Roos </t>
        </is>
      </c>
      <c r="Q22" s="673" t="n"/>
      <c r="R22" s="699" t="inlineStr">
        <is>
          <t xml:space="preserve">Boets </t>
        </is>
      </c>
      <c r="S22" s="733" t="n"/>
      <c r="T22" s="730" t="inlineStr">
        <is>
          <t>Apie</t>
        </is>
      </c>
      <c r="U22" s="733" t="n"/>
      <c r="V22" s="591" t="n"/>
      <c r="W22" s="591" t="n"/>
      <c r="X22" s="591" t="n"/>
      <c r="Y22" s="591" t="n"/>
      <c r="Z22" s="591" t="n"/>
      <c r="AA22" s="591" t="n"/>
      <c r="AB22" s="591" t="n"/>
      <c r="AC22" s="591" t="n"/>
      <c r="AD22" s="591" t="n"/>
      <c r="AE22" s="591" t="n"/>
      <c r="AF22" s="591" t="n"/>
      <c r="AG22" s="591" t="n"/>
      <c r="AH22" s="591" t="n"/>
      <c r="AI22" s="591" t="n"/>
      <c r="AJ22" s="591" t="n"/>
      <c r="AK22" s="591" t="n"/>
      <c r="AL22" s="591" t="n"/>
      <c r="AM22" s="591" t="n"/>
      <c r="AN22" s="591" t="n"/>
      <c r="AO22" s="591" t="n"/>
      <c r="AP22" s="591" t="n"/>
      <c r="AQ22" s="591" t="n"/>
      <c r="AR22" s="591" t="n"/>
      <c r="AS22" s="591" t="n"/>
      <c r="AT22" s="591" t="n"/>
      <c r="AU22" s="591" t="n"/>
      <c r="AV22" s="591" t="n"/>
      <c r="AW22" s="591" t="n"/>
      <c r="AX22" s="591" t="n"/>
      <c r="AY22" s="591" t="n"/>
      <c r="AZ22" s="591" t="n"/>
      <c r="BA22" s="591" t="n"/>
      <c r="BB22" s="591" t="n"/>
      <c r="BC22" s="591" t="n"/>
      <c r="BD22" s="591" t="n"/>
      <c r="BE22" s="591" t="n"/>
      <c r="BF22" s="591" t="n"/>
      <c r="BG22" s="591" t="n"/>
      <c r="BH22" s="591" t="n"/>
      <c r="BI22" s="591" t="n"/>
      <c r="BJ22" s="591" t="n"/>
      <c r="BK22" s="591" t="n"/>
      <c r="BL22" s="591" t="n"/>
      <c r="BM22" s="591" t="n"/>
      <c r="BN22" s="591" t="n"/>
      <c r="BO22" s="591" t="n"/>
      <c r="BP22" s="591" t="n"/>
      <c r="BQ22" s="591" t="n"/>
      <c r="BR22" s="591" t="n"/>
      <c r="BS22" s="591" t="n"/>
      <c r="BT22" s="591" t="n"/>
      <c r="BU22" s="591" t="n"/>
      <c r="BV22" s="591" t="n"/>
      <c r="BW22" s="591" t="n"/>
      <c r="BX22" s="591" t="n"/>
      <c r="BY22" s="591" t="n"/>
      <c r="BZ22" s="591" t="n"/>
      <c r="CA22" s="591" t="n"/>
      <c r="CB22" s="591" t="n"/>
      <c r="CC22" s="591" t="n"/>
      <c r="CD22" s="591" t="n"/>
      <c r="CE22" s="591" t="n"/>
      <c r="CF22" s="591" t="n"/>
      <c r="CG22" s="591" t="n"/>
      <c r="CH22" s="591" t="n"/>
      <c r="CI22" s="591" t="n"/>
      <c r="CJ22" s="591" t="n"/>
      <c r="CK22" s="591" t="n"/>
      <c r="CL22" s="591" t="n"/>
      <c r="CM22" s="591" t="n"/>
      <c r="CN22" s="591" t="n"/>
      <c r="CO22" s="591" t="n"/>
    </row>
    <row r="23" ht="18.75" customHeight="1" s="562">
      <c r="A23" s="684" t="n">
        <v>45981</v>
      </c>
      <c r="B23" s="685" t="inlineStr">
        <is>
          <t>Thursday</t>
        </is>
      </c>
      <c r="C23" s="702" t="inlineStr">
        <is>
          <t>Johnstons</t>
        </is>
      </c>
      <c r="D23" s="708" t="inlineStr">
        <is>
          <t xml:space="preserve">Androulla </t>
        </is>
      </c>
      <c r="E23" s="591" t="n"/>
      <c r="F23" s="673" t="n"/>
      <c r="G23" s="722" t="inlineStr">
        <is>
          <t>Hennie</t>
        </is>
      </c>
      <c r="H23" s="676" t="n"/>
      <c r="I23" s="673" t="n"/>
      <c r="J23" s="735" t="inlineStr">
        <is>
          <t>Johan Bierman</t>
        </is>
      </c>
      <c r="K23" s="688" t="inlineStr">
        <is>
          <t>Jacomina</t>
        </is>
      </c>
      <c r="L23" s="679" t="n"/>
      <c r="M23" s="676" t="n"/>
      <c r="N23" s="714" t="inlineStr">
        <is>
          <t>Van Vuuren</t>
        </is>
      </c>
      <c r="O23" s="591" t="n"/>
      <c r="P23" s="698" t="inlineStr">
        <is>
          <t xml:space="preserve">Roos </t>
        </is>
      </c>
      <c r="Q23" s="673" t="n"/>
      <c r="R23" s="699" t="inlineStr">
        <is>
          <t xml:space="preserve">Boets </t>
        </is>
      </c>
      <c r="S23" s="733" t="n"/>
      <c r="T23" s="730" t="inlineStr">
        <is>
          <t>Apie</t>
        </is>
      </c>
      <c r="U23" s="733" t="n"/>
      <c r="V23" s="591" t="n"/>
      <c r="W23" s="591" t="n"/>
      <c r="X23" s="591" t="n"/>
      <c r="Y23" s="591" t="n"/>
      <c r="Z23" s="591" t="n"/>
      <c r="AA23" s="591" t="n"/>
      <c r="AB23" s="591" t="n"/>
      <c r="AC23" s="591" t="n"/>
      <c r="AD23" s="591" t="n"/>
      <c r="AE23" s="591" t="n"/>
      <c r="AF23" s="591" t="n"/>
      <c r="AG23" s="591" t="n"/>
      <c r="AH23" s="591" t="n"/>
      <c r="AI23" s="591" t="n"/>
      <c r="AJ23" s="591" t="n"/>
      <c r="AK23" s="591" t="n"/>
      <c r="AL23" s="591" t="n"/>
      <c r="AM23" s="591" t="n"/>
      <c r="AN23" s="591" t="n"/>
      <c r="AO23" s="591" t="n"/>
      <c r="AP23" s="591" t="n"/>
      <c r="AQ23" s="591" t="n"/>
      <c r="AR23" s="591" t="n"/>
      <c r="AS23" s="591" t="n"/>
      <c r="AT23" s="591" t="n"/>
      <c r="AU23" s="591" t="n"/>
      <c r="AV23" s="591" t="n"/>
      <c r="AW23" s="591" t="n"/>
      <c r="AX23" s="591" t="n"/>
      <c r="AY23" s="591" t="n"/>
      <c r="AZ23" s="591" t="n"/>
      <c r="BA23" s="591" t="n"/>
      <c r="BB23" s="591" t="n"/>
      <c r="BC23" s="591" t="n"/>
      <c r="BD23" s="591" t="n"/>
      <c r="BE23" s="591" t="n"/>
      <c r="BF23" s="591" t="n"/>
      <c r="BG23" s="591" t="n"/>
      <c r="BH23" s="591" t="n"/>
      <c r="BI23" s="591" t="n"/>
      <c r="BJ23" s="591" t="n"/>
      <c r="BK23" s="591" t="n"/>
      <c r="BL23" s="591" t="n"/>
      <c r="BM23" s="591" t="n"/>
      <c r="BN23" s="591" t="n"/>
      <c r="BO23" s="591" t="n"/>
      <c r="BP23" s="591" t="n"/>
      <c r="BQ23" s="591" t="n"/>
      <c r="BR23" s="591" t="n"/>
      <c r="BS23" s="591" t="n"/>
      <c r="BT23" s="591" t="n"/>
      <c r="BU23" s="591" t="n"/>
      <c r="BV23" s="591" t="n"/>
      <c r="BW23" s="591" t="n"/>
      <c r="BX23" s="591" t="n"/>
      <c r="BY23" s="591" t="n"/>
      <c r="BZ23" s="591" t="n"/>
      <c r="CA23" s="591" t="n"/>
      <c r="CB23" s="591" t="n"/>
      <c r="CC23" s="591" t="n"/>
      <c r="CD23" s="591" t="n"/>
      <c r="CE23" s="591" t="n"/>
      <c r="CF23" s="591" t="n"/>
      <c r="CG23" s="591" t="n"/>
      <c r="CH23" s="591" t="n"/>
      <c r="CI23" s="591" t="n"/>
      <c r="CJ23" s="591" t="n"/>
      <c r="CK23" s="591" t="n"/>
      <c r="CL23" s="591" t="n"/>
      <c r="CM23" s="591" t="n"/>
      <c r="CN23" s="591" t="n"/>
      <c r="CO23" s="591" t="n"/>
    </row>
    <row r="24" ht="18.75" customHeight="1" s="562">
      <c r="A24" s="684" t="n">
        <v>45982</v>
      </c>
      <c r="B24" s="685" t="inlineStr">
        <is>
          <t>Friday</t>
        </is>
      </c>
      <c r="C24" s="676" t="n"/>
      <c r="D24" s="708" t="inlineStr">
        <is>
          <t xml:space="preserve">Androulla </t>
        </is>
      </c>
      <c r="E24" s="591" t="n"/>
      <c r="F24" s="673" t="n"/>
      <c r="G24" s="722" t="inlineStr">
        <is>
          <t>Hennie</t>
        </is>
      </c>
      <c r="H24" s="676" t="n"/>
      <c r="I24" s="673" t="n"/>
      <c r="J24" s="591" t="n"/>
      <c r="K24" s="688" t="inlineStr">
        <is>
          <t>Jacomina</t>
        </is>
      </c>
      <c r="L24" s="679" t="n"/>
      <c r="M24" s="718" t="inlineStr">
        <is>
          <t>Johnstons</t>
        </is>
      </c>
      <c r="N24" s="714" t="inlineStr">
        <is>
          <t>Van Vuuren</t>
        </is>
      </c>
      <c r="O24" s="591" t="n"/>
      <c r="P24" s="711" t="inlineStr">
        <is>
          <t xml:space="preserve">Roos </t>
        </is>
      </c>
      <c r="Q24" s="673" t="n"/>
      <c r="R24" s="712" t="inlineStr">
        <is>
          <t xml:space="preserve">Boets </t>
        </is>
      </c>
      <c r="S24" s="733" t="n"/>
      <c r="T24" s="730" t="inlineStr">
        <is>
          <t>Apie</t>
        </is>
      </c>
      <c r="U24" s="733" t="n"/>
      <c r="V24" s="591" t="n"/>
      <c r="W24" s="591" t="n"/>
      <c r="X24" s="591" t="n"/>
      <c r="Y24" s="591" t="n"/>
      <c r="Z24" s="591" t="n"/>
      <c r="AA24" s="591" t="n"/>
      <c r="AB24" s="591" t="n"/>
      <c r="AC24" s="591" t="n"/>
      <c r="AD24" s="591" t="n"/>
      <c r="AE24" s="591" t="n"/>
      <c r="AF24" s="591" t="n"/>
      <c r="AG24" s="591" t="n"/>
      <c r="AH24" s="591" t="n"/>
      <c r="AI24" s="591" t="n"/>
      <c r="AJ24" s="591" t="n"/>
      <c r="AK24" s="591" t="n"/>
      <c r="AL24" s="591" t="n"/>
      <c r="AM24" s="591" t="n"/>
      <c r="AN24" s="591" t="n"/>
      <c r="AO24" s="591" t="n"/>
      <c r="AP24" s="591" t="n"/>
      <c r="AQ24" s="591" t="n"/>
      <c r="AR24" s="591" t="n"/>
      <c r="AS24" s="591" t="n"/>
      <c r="AT24" s="591" t="n"/>
      <c r="AU24" s="591" t="n"/>
      <c r="AV24" s="591" t="n"/>
      <c r="AW24" s="591" t="n"/>
      <c r="AX24" s="591" t="n"/>
      <c r="AY24" s="591" t="n"/>
      <c r="AZ24" s="591" t="n"/>
      <c r="BA24" s="591" t="n"/>
      <c r="BB24" s="591" t="n"/>
      <c r="BC24" s="591" t="n"/>
      <c r="BD24" s="591" t="n"/>
      <c r="BE24" s="591" t="n"/>
      <c r="BF24" s="591" t="n"/>
      <c r="BG24" s="591" t="n"/>
      <c r="BH24" s="591" t="n"/>
      <c r="BI24" s="591" t="n"/>
      <c r="BJ24" s="591" t="n"/>
      <c r="BK24" s="591" t="n"/>
      <c r="BL24" s="591" t="n"/>
      <c r="BM24" s="591" t="n"/>
      <c r="BN24" s="591" t="n"/>
      <c r="BO24" s="591" t="n"/>
      <c r="BP24" s="591" t="n"/>
      <c r="BQ24" s="591" t="n"/>
      <c r="BR24" s="591" t="n"/>
      <c r="BS24" s="591" t="n"/>
      <c r="BT24" s="591" t="n"/>
      <c r="BU24" s="591" t="n"/>
      <c r="BV24" s="591" t="n"/>
      <c r="BW24" s="591" t="n"/>
      <c r="BX24" s="591" t="n"/>
      <c r="BY24" s="591" t="n"/>
      <c r="BZ24" s="591" t="n"/>
      <c r="CA24" s="591" t="n"/>
      <c r="CB24" s="591" t="n"/>
      <c r="CC24" s="591" t="n"/>
      <c r="CD24" s="591" t="n"/>
      <c r="CE24" s="591" t="n"/>
      <c r="CF24" s="591" t="n"/>
      <c r="CG24" s="591" t="n"/>
      <c r="CH24" s="591" t="n"/>
      <c r="CI24" s="591" t="n"/>
      <c r="CJ24" s="591" t="n"/>
      <c r="CK24" s="591" t="n"/>
      <c r="CL24" s="591" t="n"/>
      <c r="CM24" s="591" t="n"/>
      <c r="CN24" s="591" t="n"/>
      <c r="CO24" s="591" t="n"/>
    </row>
    <row r="25" ht="18.75" customHeight="1" s="562">
      <c r="A25" s="684" t="n">
        <v>45983</v>
      </c>
      <c r="B25" s="685" t="inlineStr">
        <is>
          <t>Saturday</t>
        </is>
      </c>
      <c r="C25" s="676" t="n"/>
      <c r="D25" s="708" t="inlineStr">
        <is>
          <t xml:space="preserve">Androulla </t>
        </is>
      </c>
      <c r="E25" s="591" t="n"/>
      <c r="F25" s="673" t="n"/>
      <c r="G25" s="722" t="inlineStr">
        <is>
          <t>Hennie</t>
        </is>
      </c>
      <c r="H25" s="676" t="n"/>
      <c r="I25" s="673" t="n"/>
      <c r="K25" s="724" t="inlineStr">
        <is>
          <t>Jacomina</t>
        </is>
      </c>
      <c r="L25" s="679" t="n"/>
      <c r="M25" s="720" t="inlineStr">
        <is>
          <t>Johnstons</t>
        </is>
      </c>
      <c r="N25" s="714" t="inlineStr">
        <is>
          <t>Van Vuuren</t>
        </is>
      </c>
      <c r="O25" s="591" t="n"/>
      <c r="P25" s="591" t="n"/>
      <c r="Q25" s="673" t="n"/>
      <c r="R25" s="679" t="n"/>
      <c r="S25" s="733" t="n"/>
      <c r="T25" s="730" t="inlineStr">
        <is>
          <t>Apie</t>
        </is>
      </c>
      <c r="U25" s="733" t="n"/>
      <c r="V25" s="591" t="n"/>
      <c r="W25" s="591" t="n"/>
      <c r="X25" s="591" t="n"/>
      <c r="Y25" s="591" t="n"/>
      <c r="Z25" s="591" t="n"/>
      <c r="AA25" s="591" t="n"/>
      <c r="AB25" s="591" t="n"/>
      <c r="AC25" s="591" t="n"/>
      <c r="AD25" s="591" t="n"/>
      <c r="AE25" s="591" t="n"/>
      <c r="AF25" s="591" t="n"/>
      <c r="AG25" s="591" t="n"/>
      <c r="AH25" s="591" t="n"/>
      <c r="AI25" s="591" t="n"/>
      <c r="AJ25" s="591" t="n"/>
      <c r="AK25" s="591" t="n"/>
      <c r="AL25" s="591" t="n"/>
      <c r="AM25" s="591" t="n"/>
      <c r="AN25" s="591" t="n"/>
      <c r="AO25" s="591" t="n"/>
      <c r="AP25" s="591" t="n"/>
      <c r="AQ25" s="591" t="n"/>
      <c r="AR25" s="591" t="n"/>
      <c r="AS25" s="591" t="n"/>
      <c r="AT25" s="591" t="n"/>
      <c r="AU25" s="591" t="n"/>
      <c r="AV25" s="591" t="n"/>
      <c r="AW25" s="591" t="n"/>
      <c r="AX25" s="591" t="n"/>
      <c r="AY25" s="591" t="n"/>
      <c r="AZ25" s="591" t="n"/>
      <c r="BA25" s="591" t="n"/>
      <c r="BB25" s="591" t="n"/>
      <c r="BC25" s="591" t="n"/>
      <c r="BD25" s="591" t="n"/>
      <c r="BE25" s="591" t="n"/>
      <c r="BF25" s="591" t="n"/>
      <c r="BG25" s="591" t="n"/>
      <c r="BH25" s="591" t="n"/>
      <c r="BI25" s="591" t="n"/>
      <c r="BJ25" s="591" t="n"/>
      <c r="BK25" s="591" t="n"/>
      <c r="BL25" s="591" t="n"/>
      <c r="BM25" s="591" t="n"/>
      <c r="BN25" s="591" t="n"/>
      <c r="BO25" s="591" t="n"/>
      <c r="BP25" s="591" t="n"/>
      <c r="BQ25" s="591" t="n"/>
      <c r="BR25" s="591" t="n"/>
      <c r="BS25" s="591" t="n"/>
      <c r="BT25" s="591" t="n"/>
      <c r="BU25" s="591" t="n"/>
      <c r="BV25" s="591" t="n"/>
      <c r="BW25" s="591" t="n"/>
      <c r="BX25" s="591" t="n"/>
      <c r="BY25" s="591" t="n"/>
      <c r="BZ25" s="591" t="n"/>
      <c r="CA25" s="591" t="n"/>
      <c r="CB25" s="591" t="n"/>
      <c r="CC25" s="591" t="n"/>
      <c r="CD25" s="591" t="n"/>
      <c r="CE25" s="591" t="n"/>
      <c r="CF25" s="591" t="n"/>
      <c r="CG25" s="591" t="n"/>
      <c r="CH25" s="591" t="n"/>
      <c r="CI25" s="591" t="n"/>
      <c r="CJ25" s="591" t="n"/>
      <c r="CK25" s="591" t="n"/>
      <c r="CL25" s="591" t="n"/>
      <c r="CM25" s="591" t="n"/>
      <c r="CN25" s="591" t="n"/>
      <c r="CO25" s="591" t="n"/>
    </row>
    <row r="26" ht="18.75" customHeight="1" s="562">
      <c r="A26" s="684" t="n">
        <v>45984</v>
      </c>
      <c r="B26" s="685" t="inlineStr">
        <is>
          <t>Sunday</t>
        </is>
      </c>
      <c r="C26" s="676" t="n"/>
      <c r="D26" s="708" t="inlineStr">
        <is>
          <t xml:space="preserve">Androulla </t>
        </is>
      </c>
      <c r="E26" s="591" t="n"/>
      <c r="F26" s="673" t="n"/>
      <c r="G26" s="725" t="n"/>
      <c r="H26" s="676" t="n"/>
      <c r="I26" s="673" t="n"/>
      <c r="J26" s="591" t="n"/>
      <c r="K26" s="731" t="n"/>
      <c r="L26" s="679" t="n"/>
      <c r="M26" s="702" t="inlineStr">
        <is>
          <t>Johnstons</t>
        </is>
      </c>
      <c r="N26" s="721" t="inlineStr">
        <is>
          <t>Van Vuuren</t>
        </is>
      </c>
      <c r="O26" s="591" t="n"/>
      <c r="P26" s="591" t="n"/>
      <c r="Q26" s="673" t="n"/>
      <c r="R26" s="679" t="n"/>
      <c r="S26" s="733" t="n"/>
      <c r="T26" s="730" t="inlineStr">
        <is>
          <t>Apie</t>
        </is>
      </c>
      <c r="U26" s="733" t="n"/>
      <c r="V26" s="591" t="n"/>
      <c r="W26" s="591" t="n"/>
      <c r="X26" s="591" t="n"/>
      <c r="Y26" s="591" t="n"/>
      <c r="Z26" s="591" t="n"/>
      <c r="AA26" s="591" t="n"/>
      <c r="AB26" s="591" t="n"/>
      <c r="AC26" s="591" t="n"/>
      <c r="AD26" s="591" t="n"/>
      <c r="AE26" s="591" t="n"/>
      <c r="AF26" s="591" t="n"/>
      <c r="AG26" s="591" t="n"/>
      <c r="AH26" s="591" t="n"/>
      <c r="AI26" s="591" t="n"/>
      <c r="AJ26" s="591" t="n"/>
      <c r="AK26" s="591" t="n"/>
      <c r="AL26" s="591" t="n"/>
      <c r="AM26" s="591" t="n"/>
      <c r="AN26" s="591" t="n"/>
      <c r="AO26" s="591" t="n"/>
      <c r="AP26" s="591" t="n"/>
      <c r="AQ26" s="591" t="n"/>
      <c r="AR26" s="591" t="n"/>
      <c r="AS26" s="591" t="n"/>
      <c r="AT26" s="591" t="n"/>
      <c r="AU26" s="591" t="n"/>
      <c r="AV26" s="591" t="n"/>
      <c r="AW26" s="591" t="n"/>
      <c r="AX26" s="591" t="n"/>
      <c r="AY26" s="591" t="n"/>
      <c r="AZ26" s="591" t="n"/>
      <c r="BA26" s="591" t="n"/>
      <c r="BB26" s="591" t="n"/>
      <c r="BC26" s="591" t="n"/>
      <c r="BD26" s="591" t="n"/>
      <c r="BE26" s="591" t="n"/>
      <c r="BF26" s="591" t="n"/>
      <c r="BG26" s="591" t="n"/>
      <c r="BH26" s="591" t="n"/>
      <c r="BI26" s="591" t="n"/>
      <c r="BJ26" s="591" t="n"/>
      <c r="BK26" s="591" t="n"/>
      <c r="BL26" s="591" t="n"/>
      <c r="BM26" s="591" t="n"/>
      <c r="BN26" s="591" t="n"/>
      <c r="BO26" s="591" t="n"/>
      <c r="BP26" s="591" t="n"/>
      <c r="BQ26" s="591" t="n"/>
      <c r="BR26" s="591" t="n"/>
      <c r="BS26" s="591" t="n"/>
      <c r="BT26" s="591" t="n"/>
      <c r="BU26" s="591" t="n"/>
      <c r="BV26" s="591" t="n"/>
      <c r="BW26" s="591" t="n"/>
      <c r="BX26" s="591" t="n"/>
      <c r="BY26" s="591" t="n"/>
      <c r="BZ26" s="591" t="n"/>
      <c r="CA26" s="591" t="n"/>
      <c r="CB26" s="591" t="n"/>
      <c r="CC26" s="591" t="n"/>
      <c r="CD26" s="591" t="n"/>
      <c r="CE26" s="591" t="n"/>
      <c r="CF26" s="591" t="n"/>
      <c r="CG26" s="591" t="n"/>
      <c r="CH26" s="591" t="n"/>
      <c r="CI26" s="591" t="n"/>
      <c r="CJ26" s="591" t="n"/>
      <c r="CK26" s="591" t="n"/>
      <c r="CL26" s="591" t="n"/>
      <c r="CM26" s="591" t="n"/>
      <c r="CN26" s="591" t="n"/>
      <c r="CO26" s="591" t="n"/>
    </row>
    <row r="27" ht="18.75" customHeight="1" s="562">
      <c r="A27" s="684" t="n">
        <v>45985</v>
      </c>
      <c r="B27" s="685" t="inlineStr">
        <is>
          <t>Monday</t>
        </is>
      </c>
      <c r="C27" s="718" t="inlineStr">
        <is>
          <t>Johnstons</t>
        </is>
      </c>
      <c r="D27" s="708" t="inlineStr">
        <is>
          <t xml:space="preserve">Androulla </t>
        </is>
      </c>
      <c r="E27" s="591" t="n"/>
      <c r="F27" s="673" t="n"/>
      <c r="G27" s="722" t="inlineStr">
        <is>
          <t>Hennie</t>
        </is>
      </c>
      <c r="H27" s="676" t="n"/>
      <c r="I27" s="673" t="n"/>
      <c r="J27" s="690" t="inlineStr">
        <is>
          <t>Johan Bierman</t>
        </is>
      </c>
      <c r="K27" s="733" t="n"/>
      <c r="L27" s="679" t="n"/>
      <c r="M27" s="676" t="n"/>
      <c r="N27" s="717" t="n"/>
      <c r="O27" s="736" t="inlineStr">
        <is>
          <t>Van Vuuren</t>
        </is>
      </c>
      <c r="P27" s="737" t="inlineStr">
        <is>
          <t xml:space="preserve">Roos </t>
        </is>
      </c>
      <c r="Q27" s="673" t="n"/>
      <c r="R27" s="693" t="inlineStr">
        <is>
          <t xml:space="preserve">Boets </t>
        </is>
      </c>
      <c r="S27" s="733" t="n"/>
      <c r="T27" s="730" t="inlineStr">
        <is>
          <t>Apie</t>
        </is>
      </c>
      <c r="U27" s="733" t="n"/>
      <c r="V27" s="591" t="n"/>
      <c r="W27" s="591" t="n"/>
      <c r="X27" s="591" t="n"/>
      <c r="Y27" s="591" t="n"/>
      <c r="Z27" s="591" t="n"/>
      <c r="AA27" s="591" t="n"/>
      <c r="AB27" s="591" t="n"/>
      <c r="AC27" s="591" t="n"/>
      <c r="AD27" s="591" t="n"/>
      <c r="AE27" s="591" t="n"/>
      <c r="AF27" s="591" t="n"/>
      <c r="AG27" s="591" t="n"/>
      <c r="AH27" s="591" t="n"/>
      <c r="AI27" s="591" t="n"/>
      <c r="AJ27" s="591" t="n"/>
      <c r="AK27" s="591" t="n"/>
      <c r="AL27" s="591" t="n"/>
      <c r="AM27" s="591" t="n"/>
      <c r="AN27" s="591" t="n"/>
      <c r="AO27" s="591" t="n"/>
      <c r="AP27" s="591" t="n"/>
      <c r="AQ27" s="591" t="n"/>
      <c r="AR27" s="591" t="n"/>
      <c r="AS27" s="591" t="n"/>
      <c r="AT27" s="591" t="n"/>
      <c r="AU27" s="591" t="n"/>
      <c r="AV27" s="591" t="n"/>
      <c r="AW27" s="591" t="n"/>
      <c r="AX27" s="591" t="n"/>
      <c r="AY27" s="591" t="n"/>
      <c r="AZ27" s="591" t="n"/>
      <c r="BA27" s="591" t="n"/>
      <c r="BB27" s="591" t="n"/>
      <c r="BC27" s="591" t="n"/>
      <c r="BD27" s="591" t="n"/>
      <c r="BE27" s="591" t="n"/>
      <c r="BF27" s="591" t="n"/>
      <c r="BG27" s="591" t="n"/>
      <c r="BH27" s="591" t="n"/>
      <c r="BI27" s="591" t="n"/>
      <c r="BJ27" s="591" t="n"/>
      <c r="BK27" s="591" t="n"/>
      <c r="BL27" s="591" t="n"/>
      <c r="BM27" s="591" t="n"/>
      <c r="BN27" s="591" t="n"/>
      <c r="BO27" s="591" t="n"/>
      <c r="BP27" s="591" t="n"/>
      <c r="BQ27" s="591" t="n"/>
      <c r="BR27" s="591" t="n"/>
      <c r="BS27" s="591" t="n"/>
      <c r="BT27" s="591" t="n"/>
      <c r="BU27" s="591" t="n"/>
      <c r="BV27" s="591" t="n"/>
      <c r="BW27" s="591" t="n"/>
      <c r="BX27" s="591" t="n"/>
      <c r="BY27" s="591" t="n"/>
      <c r="BZ27" s="591" t="n"/>
      <c r="CA27" s="591" t="n"/>
      <c r="CB27" s="591" t="n"/>
      <c r="CC27" s="591" t="n"/>
      <c r="CD27" s="591" t="n"/>
      <c r="CE27" s="591" t="n"/>
      <c r="CF27" s="591" t="n"/>
      <c r="CG27" s="591" t="n"/>
      <c r="CH27" s="591" t="n"/>
      <c r="CI27" s="591" t="n"/>
      <c r="CJ27" s="591" t="n"/>
      <c r="CK27" s="591" t="n"/>
      <c r="CL27" s="591" t="n"/>
      <c r="CM27" s="591" t="n"/>
      <c r="CN27" s="591" t="n"/>
      <c r="CO27" s="591" t="n"/>
    </row>
    <row r="28" ht="18" customHeight="1" s="562">
      <c r="A28" s="684" t="n">
        <v>45986</v>
      </c>
      <c r="B28" s="685" t="inlineStr">
        <is>
          <t>Tuesday</t>
        </is>
      </c>
      <c r="C28" s="720" t="inlineStr">
        <is>
          <t>Johnstons</t>
        </is>
      </c>
      <c r="D28" s="708" t="inlineStr">
        <is>
          <t xml:space="preserve">Androulla </t>
        </is>
      </c>
      <c r="E28" s="591" t="n"/>
      <c r="F28" s="673" t="n"/>
      <c r="G28" s="722" t="inlineStr">
        <is>
          <t>Hennie</t>
        </is>
      </c>
      <c r="H28" s="676" t="n"/>
      <c r="I28" s="692" t="inlineStr">
        <is>
          <t xml:space="preserve">Johanna </t>
        </is>
      </c>
      <c r="J28" s="697" t="inlineStr">
        <is>
          <t>Johan Bierman</t>
        </is>
      </c>
      <c r="K28" s="733" t="n"/>
      <c r="L28" s="679" t="n"/>
      <c r="M28" s="676" t="n"/>
      <c r="N28" s="673" t="n"/>
      <c r="O28" s="738" t="inlineStr">
        <is>
          <t>Van Vuuren</t>
        </is>
      </c>
      <c r="P28" s="739" t="inlineStr">
        <is>
          <t xml:space="preserve">Roos </t>
        </is>
      </c>
      <c r="Q28" s="673" t="n"/>
      <c r="R28" s="699" t="inlineStr">
        <is>
          <t xml:space="preserve">Boets </t>
        </is>
      </c>
      <c r="S28" s="733" t="n"/>
      <c r="T28" s="730" t="inlineStr">
        <is>
          <t>Apie</t>
        </is>
      </c>
      <c r="U28" s="733" t="n"/>
      <c r="V28" s="591" t="n"/>
      <c r="W28" s="591" t="n"/>
      <c r="X28" s="591" t="n"/>
      <c r="Y28" s="591" t="n"/>
      <c r="Z28" s="591" t="n"/>
      <c r="AA28" s="591" t="n"/>
      <c r="AB28" s="591" t="n"/>
      <c r="AC28" s="591" t="n"/>
      <c r="AD28" s="591" t="n"/>
      <c r="AE28" s="591" t="n"/>
      <c r="AF28" s="591" t="n"/>
      <c r="AG28" s="591" t="n"/>
      <c r="AH28" s="591" t="n"/>
      <c r="AI28" s="591" t="n"/>
      <c r="AJ28" s="591" t="n"/>
      <c r="AK28" s="591" t="n"/>
      <c r="AL28" s="591" t="n"/>
      <c r="AM28" s="591" t="n"/>
      <c r="AN28" s="591" t="n"/>
      <c r="AO28" s="591" t="n"/>
      <c r="AP28" s="591" t="n"/>
      <c r="AQ28" s="591" t="n"/>
      <c r="AR28" s="591" t="n"/>
      <c r="AS28" s="591" t="n"/>
      <c r="AT28" s="591" t="n"/>
      <c r="AU28" s="591" t="n"/>
      <c r="AV28" s="591" t="n"/>
      <c r="AW28" s="591" t="n"/>
      <c r="AX28" s="591" t="n"/>
      <c r="AY28" s="591" t="n"/>
      <c r="AZ28" s="591" t="n"/>
      <c r="BA28" s="591" t="n"/>
      <c r="BB28" s="591" t="n"/>
      <c r="BC28" s="591" t="n"/>
      <c r="BD28" s="591" t="n"/>
      <c r="BE28" s="591" t="n"/>
      <c r="BF28" s="591" t="n"/>
      <c r="BG28" s="591" t="n"/>
      <c r="BH28" s="591" t="n"/>
      <c r="BI28" s="591" t="n"/>
      <c r="BJ28" s="591" t="n"/>
      <c r="BK28" s="591" t="n"/>
      <c r="BL28" s="591" t="n"/>
      <c r="BM28" s="591" t="n"/>
      <c r="BN28" s="591" t="n"/>
      <c r="BO28" s="591" t="n"/>
      <c r="BP28" s="591" t="n"/>
      <c r="BQ28" s="591" t="n"/>
      <c r="BR28" s="591" t="n"/>
      <c r="BS28" s="591" t="n"/>
      <c r="BT28" s="591" t="n"/>
      <c r="BU28" s="591" t="n"/>
      <c r="BV28" s="591" t="n"/>
      <c r="BW28" s="591" t="n"/>
      <c r="BX28" s="591" t="n"/>
      <c r="BY28" s="591" t="n"/>
      <c r="BZ28" s="591" t="n"/>
      <c r="CA28" s="591" t="n"/>
      <c r="CB28" s="591" t="n"/>
      <c r="CC28" s="591" t="n"/>
      <c r="CD28" s="591" t="n"/>
      <c r="CE28" s="591" t="n"/>
      <c r="CF28" s="591" t="n"/>
      <c r="CG28" s="591" t="n"/>
      <c r="CH28" s="591" t="n"/>
      <c r="CI28" s="591" t="n"/>
      <c r="CJ28" s="591" t="n"/>
      <c r="CK28" s="591" t="n"/>
      <c r="CL28" s="591" t="n"/>
      <c r="CM28" s="591" t="n"/>
      <c r="CN28" s="591" t="n"/>
      <c r="CO28" s="591" t="n"/>
    </row>
    <row r="29" ht="18.75" customHeight="1" s="562">
      <c r="A29" s="684" t="n">
        <v>45987</v>
      </c>
      <c r="B29" s="685" t="inlineStr">
        <is>
          <t>Wednesday</t>
        </is>
      </c>
      <c r="C29" s="720" t="inlineStr">
        <is>
          <t>Johnstons</t>
        </is>
      </c>
      <c r="D29" s="708" t="inlineStr">
        <is>
          <t xml:space="preserve">Androulla </t>
        </is>
      </c>
      <c r="E29" s="591" t="n"/>
      <c r="F29" s="673" t="n"/>
      <c r="G29" s="728" t="inlineStr">
        <is>
          <t>Hennie</t>
        </is>
      </c>
      <c r="H29" s="676" t="n"/>
      <c r="I29" s="698" t="inlineStr">
        <is>
          <t xml:space="preserve">Johanna </t>
        </is>
      </c>
      <c r="J29" s="697" t="inlineStr">
        <is>
          <t>Johan Bierman</t>
        </is>
      </c>
      <c r="K29" s="733" t="n"/>
      <c r="L29" s="679" t="n"/>
      <c r="M29" s="676" t="n"/>
      <c r="N29" s="673" t="n"/>
      <c r="O29" s="738" t="inlineStr">
        <is>
          <t>Van Vuuren</t>
        </is>
      </c>
      <c r="P29" s="739" t="inlineStr">
        <is>
          <t xml:space="preserve">Roos </t>
        </is>
      </c>
      <c r="Q29" s="673" t="n"/>
      <c r="R29" s="699" t="inlineStr">
        <is>
          <t xml:space="preserve">Boets </t>
        </is>
      </c>
      <c r="S29" s="733" t="n"/>
      <c r="T29" s="730" t="inlineStr">
        <is>
          <t>Apie</t>
        </is>
      </c>
      <c r="U29" s="733" t="n"/>
      <c r="V29" s="591" t="n"/>
      <c r="W29" s="591" t="n"/>
      <c r="X29" s="591" t="n"/>
      <c r="Y29" s="591" t="n"/>
      <c r="Z29" s="591" t="n"/>
      <c r="AA29" s="591" t="n"/>
      <c r="AB29" s="591" t="n"/>
      <c r="AC29" s="591" t="n"/>
      <c r="AD29" s="591" t="n"/>
      <c r="AE29" s="591" t="n"/>
      <c r="AF29" s="591" t="n"/>
      <c r="AG29" s="591" t="n"/>
      <c r="AH29" s="591" t="n"/>
      <c r="AI29" s="591" t="n"/>
      <c r="AJ29" s="591" t="n"/>
      <c r="AK29" s="591" t="n"/>
      <c r="AL29" s="591" t="n"/>
      <c r="AM29" s="591" t="n"/>
      <c r="AN29" s="591" t="n"/>
      <c r="AO29" s="591" t="n"/>
      <c r="AP29" s="591" t="n"/>
      <c r="AQ29" s="591" t="n"/>
      <c r="AR29" s="591" t="n"/>
      <c r="AS29" s="591" t="n"/>
      <c r="AT29" s="591" t="n"/>
      <c r="AU29" s="591" t="n"/>
      <c r="AV29" s="591" t="n"/>
      <c r="AW29" s="591" t="n"/>
      <c r="AX29" s="591" t="n"/>
      <c r="AY29" s="591" t="n"/>
      <c r="AZ29" s="591" t="n"/>
      <c r="BA29" s="591" t="n"/>
      <c r="BB29" s="591" t="n"/>
      <c r="BC29" s="591" t="n"/>
      <c r="BD29" s="591" t="n"/>
      <c r="BE29" s="591" t="n"/>
      <c r="BF29" s="591" t="n"/>
      <c r="BG29" s="591" t="n"/>
      <c r="BH29" s="591" t="n"/>
      <c r="BI29" s="591" t="n"/>
      <c r="BJ29" s="591" t="n"/>
      <c r="BK29" s="591" t="n"/>
      <c r="BL29" s="591" t="n"/>
      <c r="BM29" s="591" t="n"/>
      <c r="BN29" s="591" t="n"/>
      <c r="BO29" s="591" t="n"/>
      <c r="BP29" s="591" t="n"/>
      <c r="BQ29" s="591" t="n"/>
      <c r="BR29" s="591" t="n"/>
      <c r="BS29" s="591" t="n"/>
      <c r="BT29" s="591" t="n"/>
      <c r="BU29" s="591" t="n"/>
      <c r="BV29" s="591" t="n"/>
      <c r="BW29" s="591" t="n"/>
      <c r="BX29" s="591" t="n"/>
      <c r="BY29" s="591" t="n"/>
      <c r="BZ29" s="591" t="n"/>
      <c r="CA29" s="591" t="n"/>
      <c r="CB29" s="591" t="n"/>
      <c r="CC29" s="591" t="n"/>
      <c r="CD29" s="591" t="n"/>
      <c r="CE29" s="591" t="n"/>
      <c r="CF29" s="591" t="n"/>
      <c r="CG29" s="591" t="n"/>
      <c r="CH29" s="591" t="n"/>
      <c r="CI29" s="591" t="n"/>
      <c r="CJ29" s="591" t="n"/>
      <c r="CK29" s="591" t="n"/>
      <c r="CL29" s="591" t="n"/>
      <c r="CM29" s="591" t="n"/>
      <c r="CN29" s="591" t="n"/>
      <c r="CO29" s="591" t="n"/>
    </row>
    <row r="30" ht="18.75" customHeight="1" s="562">
      <c r="A30" s="684" t="n">
        <v>45988</v>
      </c>
      <c r="B30" s="685" t="inlineStr">
        <is>
          <t>Thursday</t>
        </is>
      </c>
      <c r="C30" s="702" t="inlineStr">
        <is>
          <t>Johnstons</t>
        </is>
      </c>
      <c r="D30" s="708" t="inlineStr">
        <is>
          <t xml:space="preserve">Androulla </t>
        </is>
      </c>
      <c r="E30" s="591" t="n"/>
      <c r="F30" s="673" t="n"/>
      <c r="G30" s="728" t="inlineStr">
        <is>
          <t>Hennie</t>
        </is>
      </c>
      <c r="H30" s="676" t="n"/>
      <c r="I30" s="698" t="inlineStr">
        <is>
          <t xml:space="preserve">Johanna </t>
        </is>
      </c>
      <c r="J30" s="697" t="inlineStr">
        <is>
          <t>Johan Bierman</t>
        </is>
      </c>
      <c r="K30" s="733" t="n"/>
      <c r="L30" s="679" t="n"/>
      <c r="M30" s="676" t="n"/>
      <c r="N30" s="673" t="n"/>
      <c r="O30" s="738" t="inlineStr">
        <is>
          <t>Van Vuuren</t>
        </is>
      </c>
      <c r="P30" s="739" t="inlineStr">
        <is>
          <t xml:space="preserve">Roos </t>
        </is>
      </c>
      <c r="Q30" s="673" t="n"/>
      <c r="R30" s="699" t="inlineStr">
        <is>
          <t xml:space="preserve">Boets </t>
        </is>
      </c>
      <c r="S30" s="733" t="n"/>
      <c r="T30" s="730" t="inlineStr">
        <is>
          <t>Apie</t>
        </is>
      </c>
      <c r="U30" s="733" t="n"/>
      <c r="V30" s="591" t="n"/>
      <c r="W30" s="591" t="n"/>
      <c r="X30" s="591" t="n"/>
      <c r="Y30" s="591" t="n"/>
      <c r="Z30" s="591" t="n"/>
      <c r="AA30" s="591" t="n"/>
      <c r="AB30" s="591" t="n"/>
      <c r="AC30" s="591" t="n"/>
      <c r="AD30" s="591" t="n"/>
      <c r="AE30" s="591" t="n"/>
      <c r="AF30" s="591" t="n"/>
      <c r="AG30" s="591" t="n"/>
      <c r="AH30" s="591" t="n"/>
      <c r="AI30" s="591" t="n"/>
      <c r="AJ30" s="591" t="n"/>
      <c r="AK30" s="591" t="n"/>
      <c r="AL30" s="591" t="n"/>
      <c r="AM30" s="591" t="n"/>
      <c r="AN30" s="591" t="n"/>
      <c r="AO30" s="591" t="n"/>
      <c r="AP30" s="591" t="n"/>
      <c r="AQ30" s="591" t="n"/>
      <c r="AR30" s="591" t="n"/>
      <c r="AS30" s="591" t="n"/>
      <c r="AT30" s="591" t="n"/>
      <c r="AU30" s="591" t="n"/>
      <c r="AV30" s="591" t="n"/>
      <c r="AW30" s="591" t="n"/>
      <c r="AX30" s="591" t="n"/>
      <c r="AY30" s="591" t="n"/>
      <c r="AZ30" s="591" t="n"/>
      <c r="BA30" s="591" t="n"/>
      <c r="BB30" s="591" t="n"/>
      <c r="BC30" s="591" t="n"/>
      <c r="BD30" s="591" t="n"/>
      <c r="BE30" s="591" t="n"/>
      <c r="BF30" s="591" t="n"/>
      <c r="BG30" s="591" t="n"/>
      <c r="BH30" s="591" t="n"/>
      <c r="BI30" s="591" t="n"/>
      <c r="BJ30" s="591" t="n"/>
      <c r="BK30" s="591" t="n"/>
      <c r="BL30" s="591" t="n"/>
      <c r="BM30" s="591" t="n"/>
      <c r="BN30" s="591" t="n"/>
      <c r="BO30" s="591" t="n"/>
      <c r="BP30" s="591" t="n"/>
      <c r="BQ30" s="591" t="n"/>
      <c r="BR30" s="591" t="n"/>
      <c r="BS30" s="591" t="n"/>
      <c r="BT30" s="591" t="n"/>
      <c r="BU30" s="591" t="n"/>
      <c r="BV30" s="591" t="n"/>
      <c r="BW30" s="591" t="n"/>
      <c r="BX30" s="591" t="n"/>
      <c r="BY30" s="591" t="n"/>
      <c r="BZ30" s="591" t="n"/>
      <c r="CA30" s="591" t="n"/>
      <c r="CB30" s="591" t="n"/>
      <c r="CC30" s="591" t="n"/>
      <c r="CD30" s="591" t="n"/>
      <c r="CE30" s="591" t="n"/>
      <c r="CF30" s="591" t="n"/>
      <c r="CG30" s="591" t="n"/>
      <c r="CH30" s="591" t="n"/>
      <c r="CI30" s="591" t="n"/>
      <c r="CJ30" s="591" t="n"/>
      <c r="CK30" s="591" t="n"/>
      <c r="CL30" s="591" t="n"/>
      <c r="CM30" s="591" t="n"/>
      <c r="CN30" s="591" t="n"/>
      <c r="CO30" s="591" t="n"/>
    </row>
    <row r="31" ht="18.75" customHeight="1" s="562">
      <c r="A31" s="684" t="n">
        <v>45989</v>
      </c>
      <c r="B31" s="685" t="inlineStr">
        <is>
          <t>Friday</t>
        </is>
      </c>
      <c r="C31" s="676" t="n"/>
      <c r="D31" s="708" t="inlineStr">
        <is>
          <t xml:space="preserve">Androulla </t>
        </is>
      </c>
      <c r="E31" s="591" t="n"/>
      <c r="F31" s="673" t="n"/>
      <c r="G31" s="734" t="inlineStr">
        <is>
          <t>Hennie</t>
        </is>
      </c>
      <c r="H31" s="676" t="n"/>
      <c r="I31" s="698" t="inlineStr">
        <is>
          <t xml:space="preserve">Johanna </t>
        </is>
      </c>
      <c r="J31" s="709" t="inlineStr">
        <is>
          <t>Johan Bierman</t>
        </is>
      </c>
      <c r="K31" s="733" t="n"/>
      <c r="L31" s="679" t="n"/>
      <c r="M31" s="718" t="inlineStr">
        <is>
          <t>Johnstons</t>
        </is>
      </c>
      <c r="N31" s="673" t="n"/>
      <c r="O31" s="738" t="inlineStr">
        <is>
          <t>Van Vuuren</t>
        </is>
      </c>
      <c r="P31" s="711" t="inlineStr">
        <is>
          <t xml:space="preserve">Roos </t>
        </is>
      </c>
      <c r="Q31" s="673" t="n"/>
      <c r="R31" s="712" t="inlineStr">
        <is>
          <t xml:space="preserve">Boets </t>
        </is>
      </c>
      <c r="S31" s="733" t="n"/>
      <c r="T31" s="730" t="inlineStr">
        <is>
          <t>Apie</t>
        </is>
      </c>
      <c r="U31" s="740" t="n"/>
      <c r="V31" s="591" t="n"/>
      <c r="W31" s="591" t="n"/>
      <c r="X31" s="591" t="n"/>
      <c r="Y31" s="591" t="n"/>
      <c r="Z31" s="591" t="n"/>
      <c r="AA31" s="591" t="n"/>
      <c r="AB31" s="591" t="n"/>
      <c r="AC31" s="591" t="n"/>
      <c r="AD31" s="591" t="n"/>
      <c r="AE31" s="591" t="n"/>
      <c r="AF31" s="591" t="n"/>
      <c r="AG31" s="591" t="n"/>
      <c r="AH31" s="591" t="n"/>
      <c r="AI31" s="591" t="n"/>
      <c r="AJ31" s="591" t="n"/>
      <c r="AK31" s="591" t="n"/>
      <c r="AL31" s="591" t="n"/>
      <c r="AM31" s="591" t="n"/>
      <c r="AN31" s="591" t="n"/>
      <c r="AO31" s="591" t="n"/>
      <c r="AP31" s="591" t="n"/>
      <c r="AQ31" s="591" t="n"/>
      <c r="AR31" s="591" t="n"/>
      <c r="AS31" s="591" t="n"/>
      <c r="AT31" s="591" t="n"/>
      <c r="AU31" s="591" t="n"/>
      <c r="AV31" s="591" t="n"/>
      <c r="AW31" s="591" t="n"/>
      <c r="AX31" s="591" t="n"/>
      <c r="AY31" s="591" t="n"/>
      <c r="AZ31" s="591" t="n"/>
      <c r="BA31" s="591" t="n"/>
      <c r="BB31" s="591" t="n"/>
      <c r="BC31" s="591" t="n"/>
      <c r="BD31" s="591" t="n"/>
      <c r="BE31" s="591" t="n"/>
      <c r="BF31" s="591" t="n"/>
      <c r="BG31" s="591" t="n"/>
      <c r="BH31" s="591" t="n"/>
      <c r="BI31" s="591" t="n"/>
      <c r="BJ31" s="591" t="n"/>
      <c r="BK31" s="591" t="n"/>
      <c r="BL31" s="591" t="n"/>
      <c r="BM31" s="591" t="n"/>
      <c r="BN31" s="591" t="n"/>
      <c r="BO31" s="591" t="n"/>
      <c r="BP31" s="591" t="n"/>
      <c r="BQ31" s="591" t="n"/>
      <c r="BR31" s="591" t="n"/>
      <c r="BS31" s="591" t="n"/>
      <c r="BT31" s="591" t="n"/>
      <c r="BU31" s="591" t="n"/>
      <c r="BV31" s="591" t="n"/>
      <c r="BW31" s="591" t="n"/>
      <c r="BX31" s="591" t="n"/>
      <c r="BY31" s="591" t="n"/>
      <c r="BZ31" s="591" t="n"/>
      <c r="CA31" s="591" t="n"/>
      <c r="CB31" s="591" t="n"/>
      <c r="CC31" s="591" t="n"/>
      <c r="CD31" s="591" t="n"/>
      <c r="CE31" s="591" t="n"/>
      <c r="CF31" s="591" t="n"/>
      <c r="CG31" s="591" t="n"/>
      <c r="CH31" s="591" t="n"/>
      <c r="CI31" s="591" t="n"/>
      <c r="CJ31" s="591" t="n"/>
      <c r="CK31" s="591" t="n"/>
      <c r="CL31" s="591" t="n"/>
      <c r="CM31" s="591" t="n"/>
      <c r="CN31" s="591" t="n"/>
      <c r="CO31" s="591" t="n"/>
    </row>
    <row r="32" ht="18.75" customHeight="1" s="562">
      <c r="A32" s="684" t="n">
        <v>45990</v>
      </c>
      <c r="B32" s="685" t="inlineStr">
        <is>
          <t>Saturday</t>
        </is>
      </c>
      <c r="C32" s="676" t="n"/>
      <c r="D32" s="708" t="inlineStr">
        <is>
          <t xml:space="preserve">Androulla </t>
        </is>
      </c>
      <c r="E32" s="591" t="n"/>
      <c r="F32" s="673" t="n"/>
      <c r="G32" s="728" t="inlineStr">
        <is>
          <t>Hennie</t>
        </is>
      </c>
      <c r="H32" s="676" t="n"/>
      <c r="I32" s="698" t="inlineStr">
        <is>
          <t xml:space="preserve">Johanna </t>
        </is>
      </c>
      <c r="J32" s="591" t="n"/>
      <c r="K32" s="741" t="n"/>
      <c r="L32" s="679" t="n"/>
      <c r="M32" s="720" t="inlineStr">
        <is>
          <t>Johnstons</t>
        </is>
      </c>
      <c r="N32" s="673" t="n"/>
      <c r="O32" s="738" t="inlineStr">
        <is>
          <t>Van Vuuren</t>
        </is>
      </c>
      <c r="P32" s="676" t="n"/>
      <c r="Q32" s="673" t="n"/>
      <c r="R32" s="679" t="n"/>
      <c r="S32" s="741" t="n"/>
      <c r="T32" s="730" t="inlineStr">
        <is>
          <t>Apie</t>
        </is>
      </c>
      <c r="U32" s="680" t="inlineStr">
        <is>
          <t>Hillery</t>
        </is>
      </c>
      <c r="V32" s="591" t="n"/>
      <c r="W32" s="591" t="n"/>
      <c r="X32" s="591" t="n"/>
      <c r="Y32" s="591" t="n"/>
      <c r="Z32" s="591" t="n"/>
      <c r="AA32" s="591" t="n"/>
      <c r="AB32" s="591" t="n"/>
      <c r="AC32" s="591" t="n"/>
      <c r="AD32" s="591" t="n"/>
      <c r="AE32" s="591" t="n"/>
      <c r="AF32" s="591" t="n"/>
      <c r="AG32" s="591" t="n"/>
      <c r="AH32" s="591" t="n"/>
      <c r="AI32" s="591" t="n"/>
      <c r="AJ32" s="591" t="n"/>
      <c r="AK32" s="591" t="n"/>
      <c r="AL32" s="591" t="n"/>
      <c r="AM32" s="591" t="n"/>
      <c r="AN32" s="591" t="n"/>
      <c r="AO32" s="591" t="n"/>
      <c r="AP32" s="591" t="n"/>
      <c r="AQ32" s="591" t="n"/>
      <c r="AR32" s="591" t="n"/>
      <c r="AS32" s="591" t="n"/>
      <c r="AT32" s="591" t="n"/>
      <c r="AU32" s="591" t="n"/>
      <c r="AV32" s="591" t="n"/>
      <c r="AW32" s="591" t="n"/>
      <c r="AX32" s="591" t="n"/>
      <c r="AY32" s="591" t="n"/>
      <c r="AZ32" s="591" t="n"/>
      <c r="BA32" s="591" t="n"/>
      <c r="BB32" s="591" t="n"/>
      <c r="BC32" s="591" t="n"/>
      <c r="BD32" s="591" t="n"/>
      <c r="BE32" s="591" t="n"/>
      <c r="BF32" s="591" t="n"/>
      <c r="BG32" s="591" t="n"/>
      <c r="BH32" s="591" t="n"/>
      <c r="BI32" s="591" t="n"/>
      <c r="BJ32" s="591" t="n"/>
      <c r="BK32" s="591" t="n"/>
      <c r="BL32" s="591" t="n"/>
      <c r="BM32" s="591" t="n"/>
      <c r="BN32" s="591" t="n"/>
      <c r="BO32" s="591" t="n"/>
      <c r="BP32" s="591" t="n"/>
      <c r="BQ32" s="591" t="n"/>
      <c r="BR32" s="591" t="n"/>
      <c r="BS32" s="591" t="n"/>
      <c r="BT32" s="591" t="n"/>
      <c r="BU32" s="591" t="n"/>
      <c r="BV32" s="591" t="n"/>
      <c r="BW32" s="591" t="n"/>
      <c r="BX32" s="591" t="n"/>
      <c r="BY32" s="591" t="n"/>
      <c r="BZ32" s="591" t="n"/>
      <c r="CA32" s="591" t="n"/>
      <c r="CB32" s="591" t="n"/>
      <c r="CC32" s="591" t="n"/>
      <c r="CD32" s="591" t="n"/>
      <c r="CE32" s="591" t="n"/>
      <c r="CF32" s="591" t="n"/>
      <c r="CG32" s="591" t="n"/>
      <c r="CH32" s="591" t="n"/>
      <c r="CI32" s="591" t="n"/>
      <c r="CJ32" s="591" t="n"/>
      <c r="CK32" s="591" t="n"/>
      <c r="CL32" s="591" t="n"/>
      <c r="CM32" s="591" t="n"/>
      <c r="CN32" s="591" t="n"/>
      <c r="CO32" s="591" t="n"/>
    </row>
    <row r="33" ht="18.75" customHeight="1" s="562">
      <c r="A33" s="742" t="n">
        <v>45991</v>
      </c>
      <c r="B33" s="743" t="inlineStr">
        <is>
          <t>Sunday</t>
        </is>
      </c>
      <c r="C33" s="676" t="n"/>
      <c r="D33" s="744" t="inlineStr">
        <is>
          <t xml:space="preserve">Androulla </t>
        </is>
      </c>
      <c r="E33" s="591" t="n"/>
      <c r="F33" s="673" t="n"/>
      <c r="G33" s="679" t="n"/>
      <c r="H33" s="676" t="n"/>
      <c r="I33" s="711" t="inlineStr">
        <is>
          <t xml:space="preserve">Johanna </t>
        </is>
      </c>
      <c r="J33" s="591" t="n"/>
      <c r="K33" s="733" t="n"/>
      <c r="L33" s="679" t="n"/>
      <c r="M33" s="745" t="inlineStr">
        <is>
          <t>Johnstons</t>
        </is>
      </c>
      <c r="N33" s="746" t="n"/>
      <c r="O33" s="738" t="inlineStr">
        <is>
          <t>Van Vuuren</t>
        </is>
      </c>
      <c r="P33" s="676" t="n"/>
      <c r="Q33" s="673" t="n"/>
      <c r="R33" s="679" t="n"/>
      <c r="S33" s="733" t="n"/>
      <c r="T33" s="747" t="inlineStr">
        <is>
          <t>Apie</t>
        </is>
      </c>
      <c r="U33" s="683" t="inlineStr">
        <is>
          <t>Hillery</t>
        </is>
      </c>
      <c r="V33" s="591" t="n"/>
      <c r="W33" s="591" t="n"/>
      <c r="X33" s="591" t="n"/>
      <c r="Y33" s="591" t="n"/>
      <c r="Z33" s="591" t="n"/>
      <c r="AA33" s="591" t="n"/>
      <c r="AB33" s="591" t="n"/>
      <c r="AC33" s="591" t="n"/>
      <c r="AD33" s="591" t="n"/>
      <c r="AE33" s="591" t="n"/>
      <c r="AF33" s="591" t="n"/>
      <c r="AG33" s="591" t="n"/>
      <c r="AH33" s="591" t="n"/>
      <c r="AI33" s="591" t="n"/>
      <c r="AJ33" s="591" t="n"/>
      <c r="AK33" s="591" t="n"/>
      <c r="AL33" s="591" t="n"/>
      <c r="AM33" s="591" t="n"/>
      <c r="AN33" s="591" t="n"/>
      <c r="AO33" s="591" t="n"/>
      <c r="AP33" s="591" t="n"/>
      <c r="AQ33" s="591" t="n"/>
      <c r="AR33" s="591" t="n"/>
      <c r="AS33" s="591" t="n"/>
      <c r="AT33" s="591" t="n"/>
      <c r="AU33" s="591" t="n"/>
      <c r="AV33" s="591" t="n"/>
      <c r="AW33" s="591" t="n"/>
      <c r="AX33" s="591" t="n"/>
      <c r="AY33" s="591" t="n"/>
      <c r="AZ33" s="591" t="n"/>
      <c r="BA33" s="591" t="n"/>
      <c r="BB33" s="591" t="n"/>
      <c r="BC33" s="591" t="n"/>
      <c r="BD33" s="591" t="n"/>
      <c r="BE33" s="591" t="n"/>
      <c r="BF33" s="591" t="n"/>
      <c r="BG33" s="591" t="n"/>
      <c r="BH33" s="591" t="n"/>
      <c r="BI33" s="591" t="n"/>
      <c r="BJ33" s="591" t="n"/>
      <c r="BK33" s="591" t="n"/>
      <c r="BL33" s="591" t="n"/>
      <c r="BM33" s="591" t="n"/>
      <c r="BN33" s="591" t="n"/>
      <c r="BO33" s="591" t="n"/>
      <c r="BP33" s="591" t="n"/>
      <c r="BQ33" s="591" t="n"/>
      <c r="BR33" s="591" t="n"/>
      <c r="BS33" s="591" t="n"/>
      <c r="BT33" s="591" t="n"/>
      <c r="BU33" s="591" t="n"/>
      <c r="BV33" s="591" t="n"/>
      <c r="BW33" s="591" t="n"/>
      <c r="BX33" s="591" t="n"/>
      <c r="BY33" s="591" t="n"/>
      <c r="BZ33" s="591" t="n"/>
      <c r="CA33" s="591" t="n"/>
      <c r="CB33" s="591" t="n"/>
      <c r="CC33" s="591" t="n"/>
      <c r="CD33" s="591" t="n"/>
      <c r="CE33" s="591" t="n"/>
      <c r="CF33" s="591" t="n"/>
      <c r="CG33" s="591" t="n"/>
      <c r="CH33" s="591" t="n"/>
      <c r="CI33" s="591" t="n"/>
      <c r="CJ33" s="591" t="n"/>
      <c r="CK33" s="591" t="n"/>
      <c r="CL33" s="591" t="n"/>
      <c r="CM33" s="591" t="n"/>
      <c r="CN33" s="591" t="n"/>
      <c r="CO33" s="591" t="n"/>
    </row>
    <row r="34" ht="18.75" customFormat="1" customHeight="1" s="593">
      <c r="A34" s="748" t="inlineStr">
        <is>
          <t xml:space="preserve">Days Worked </t>
        </is>
      </c>
      <c r="B34" s="749" t="n"/>
      <c r="C34" s="750" t="n">
        <v>16</v>
      </c>
      <c r="D34" s="751" t="n">
        <v>25</v>
      </c>
      <c r="E34" s="750" t="n">
        <v>7</v>
      </c>
      <c r="F34" s="750" t="n">
        <v>8</v>
      </c>
      <c r="G34" s="750" t="n">
        <v>25</v>
      </c>
      <c r="H34" s="752" t="n"/>
      <c r="I34" s="751" t="n">
        <v>20</v>
      </c>
      <c r="J34" s="750" t="n">
        <v>19</v>
      </c>
      <c r="K34" s="750" t="n">
        <v>13</v>
      </c>
      <c r="L34" s="752" t="n"/>
      <c r="M34" s="750" t="n">
        <v>14</v>
      </c>
      <c r="N34" s="753" t="n">
        <v>10</v>
      </c>
      <c r="O34" s="754" t="n">
        <v>20</v>
      </c>
      <c r="P34" s="754" t="n">
        <v>20</v>
      </c>
      <c r="Q34" s="754" t="n">
        <v>2</v>
      </c>
      <c r="R34" s="754" t="n">
        <v>21</v>
      </c>
      <c r="S34" s="754" t="n">
        <v>9</v>
      </c>
      <c r="T34" s="754" t="n">
        <v>20</v>
      </c>
      <c r="U34" s="755" t="n">
        <v>5</v>
      </c>
      <c r="V34" s="756" t="n"/>
      <c r="W34" s="756" t="n"/>
      <c r="X34" s="756" t="n"/>
      <c r="Y34" s="756" t="n"/>
      <c r="Z34" s="756" t="n"/>
      <c r="AA34" s="756" t="n"/>
      <c r="AB34" s="756" t="n"/>
      <c r="AC34" s="756" t="n"/>
      <c r="AD34" s="756" t="n"/>
      <c r="AE34" s="756" t="n"/>
      <c r="AF34" s="756" t="n"/>
      <c r="AG34" s="756" t="n"/>
      <c r="AH34" s="756" t="n"/>
      <c r="AI34" s="756" t="n"/>
      <c r="AJ34" s="756" t="n"/>
      <c r="AK34" s="756" t="n"/>
      <c r="AL34" s="756" t="n"/>
      <c r="AM34" s="756" t="n"/>
      <c r="AN34" s="756" t="n"/>
      <c r="AO34" s="756" t="n"/>
      <c r="AP34" s="756" t="n"/>
      <c r="AQ34" s="756" t="n"/>
      <c r="AR34" s="756" t="n"/>
      <c r="AS34" s="756" t="n"/>
      <c r="AT34" s="756" t="n"/>
      <c r="AU34" s="756" t="n"/>
      <c r="AV34" s="756" t="n"/>
      <c r="AW34" s="756" t="n"/>
      <c r="AX34" s="756" t="n"/>
      <c r="AY34" s="756" t="n"/>
      <c r="AZ34" s="756" t="n"/>
      <c r="BA34" s="756" t="n"/>
      <c r="BB34" s="756" t="n"/>
      <c r="BC34" s="756" t="n"/>
      <c r="BD34" s="756" t="n"/>
      <c r="BE34" s="756" t="n"/>
      <c r="BF34" s="756" t="n"/>
      <c r="BG34" s="756" t="n"/>
      <c r="BH34" s="756" t="n"/>
      <c r="BI34" s="756" t="n"/>
      <c r="BJ34" s="756" t="n"/>
      <c r="BK34" s="756" t="n"/>
      <c r="BL34" s="756" t="n"/>
      <c r="BM34" s="756" t="n"/>
      <c r="BN34" s="756" t="n"/>
      <c r="BO34" s="756" t="n"/>
      <c r="BP34" s="756" t="n"/>
      <c r="BQ34" s="756" t="n"/>
      <c r="BR34" s="756" t="n"/>
      <c r="BS34" s="756" t="n"/>
      <c r="BT34" s="756" t="n"/>
      <c r="BU34" s="756" t="n"/>
      <c r="BV34" s="756" t="n"/>
      <c r="BW34" s="756" t="n"/>
      <c r="BX34" s="756" t="n"/>
      <c r="BY34" s="756" t="n"/>
      <c r="BZ34" s="756" t="n"/>
      <c r="CA34" s="756" t="n"/>
      <c r="CB34" s="756" t="n"/>
      <c r="CC34" s="756" t="n"/>
      <c r="CD34" s="756" t="n"/>
      <c r="CE34" s="756" t="n"/>
      <c r="CF34" s="756" t="n"/>
      <c r="CG34" s="756" t="n"/>
      <c r="CH34" s="756" t="n"/>
      <c r="CI34" s="756" t="n"/>
      <c r="CJ34" s="756" t="n"/>
      <c r="CK34" s="756" t="n"/>
      <c r="CL34" s="756" t="n"/>
      <c r="CM34" s="756" t="n"/>
      <c r="CN34" s="756" t="n"/>
      <c r="CO34" s="756" t="n"/>
    </row>
    <row r="35" ht="18.75" customHeight="1" s="562">
      <c r="A35" s="757" t="inlineStr">
        <is>
          <t xml:space="preserve">Money Borrowed </t>
        </is>
      </c>
      <c r="B35" s="757" t="n"/>
      <c r="C35" s="757" t="n"/>
      <c r="D35" s="757" t="n"/>
      <c r="E35" s="757" t="n"/>
      <c r="F35" s="757" t="n"/>
      <c r="G35" s="757" t="n"/>
      <c r="H35" s="757" t="n"/>
      <c r="I35" s="757" t="n"/>
      <c r="J35" s="757" t="n">
        <v>4000</v>
      </c>
      <c r="K35" s="757" t="n"/>
      <c r="L35" s="757" t="n"/>
      <c r="M35" s="757" t="n"/>
      <c r="N35" s="757" t="n"/>
      <c r="O35" s="757" t="n"/>
      <c r="P35" s="757" t="n"/>
      <c r="Q35" s="757" t="n">
        <v>150</v>
      </c>
      <c r="R35" s="758" t="n">
        <v>1000</v>
      </c>
      <c r="S35" s="757" t="n"/>
      <c r="T35" s="757" t="n"/>
      <c r="U35" s="757" t="n"/>
      <c r="V35" s="591" t="n"/>
      <c r="W35" s="591" t="n"/>
      <c r="X35" s="591" t="n"/>
      <c r="Y35" s="591" t="n"/>
      <c r="Z35" s="591" t="n"/>
      <c r="AA35" s="591" t="n"/>
      <c r="AB35" s="591" t="n"/>
      <c r="AC35" s="591" t="n"/>
      <c r="AD35" s="591" t="n"/>
      <c r="AE35" s="591" t="n"/>
      <c r="AF35" s="591" t="n"/>
      <c r="AG35" s="591" t="n"/>
      <c r="AH35" s="591" t="n"/>
      <c r="AI35" s="591" t="n"/>
      <c r="AJ35" s="591" t="n"/>
      <c r="AK35" s="591" t="n"/>
      <c r="AL35" s="591" t="n"/>
      <c r="AM35" s="591" t="n"/>
      <c r="AN35" s="591" t="n"/>
      <c r="AO35" s="591" t="n"/>
      <c r="AP35" s="591" t="n"/>
      <c r="AQ35" s="591" t="n"/>
      <c r="AR35" s="591" t="n"/>
      <c r="AS35" s="591" t="n"/>
      <c r="AT35" s="591" t="n"/>
      <c r="AU35" s="591" t="n"/>
      <c r="AV35" s="591" t="n"/>
      <c r="AW35" s="591" t="n"/>
      <c r="AX35" s="591" t="n"/>
      <c r="AY35" s="591" t="n"/>
      <c r="AZ35" s="591" t="n"/>
      <c r="BA35" s="591" t="n"/>
      <c r="BB35" s="591" t="n"/>
      <c r="BC35" s="591" t="n"/>
      <c r="BD35" s="591" t="n"/>
      <c r="BE35" s="591" t="n"/>
      <c r="BF35" s="591" t="n"/>
      <c r="BG35" s="591" t="n"/>
      <c r="BH35" s="591" t="n"/>
      <c r="BI35" s="591" t="n"/>
      <c r="BJ35" s="591" t="n"/>
      <c r="BK35" s="591" t="n"/>
      <c r="BL35" s="591" t="n"/>
      <c r="BM35" s="591" t="n"/>
      <c r="BN35" s="591" t="n"/>
      <c r="BO35" s="591" t="n"/>
      <c r="BP35" s="591" t="n"/>
      <c r="BQ35" s="591" t="n"/>
      <c r="BR35" s="591" t="n"/>
      <c r="BS35" s="591" t="n"/>
      <c r="BT35" s="591" t="n"/>
      <c r="BU35" s="591" t="n"/>
      <c r="BV35" s="591" t="n"/>
      <c r="BW35" s="591" t="n"/>
      <c r="BX35" s="591" t="n"/>
      <c r="BY35" s="591" t="n"/>
      <c r="BZ35" s="591" t="n"/>
      <c r="CA35" s="591" t="n"/>
      <c r="CB35" s="591" t="n"/>
      <c r="CC35" s="591" t="n"/>
      <c r="CD35" s="591" t="n"/>
      <c r="CE35" s="591" t="n"/>
      <c r="CF35" s="591" t="n"/>
      <c r="CG35" s="591" t="n"/>
      <c r="CH35" s="591" t="n"/>
      <c r="CI35" s="591" t="n"/>
      <c r="CJ35" s="591" t="n"/>
      <c r="CK35" s="591" t="n"/>
      <c r="CL35" s="591" t="n"/>
      <c r="CM35" s="591" t="n"/>
      <c r="CN35" s="591" t="n"/>
      <c r="CO35" s="591" t="n"/>
    </row>
    <row r="36" ht="24.75" customFormat="1" customHeight="1" s="759">
      <c r="A36" s="760" t="inlineStr">
        <is>
          <t>Total Amount</t>
        </is>
      </c>
      <c r="B36" s="761">
        <f>SUM(C36:U36)</f>
        <v/>
      </c>
      <c r="C36" s="761">
        <f>C2*C34</f>
        <v/>
      </c>
      <c r="D36" s="761">
        <f>D2*D34</f>
        <v/>
      </c>
      <c r="E36" s="761">
        <f>E34*E2</f>
        <v/>
      </c>
      <c r="F36" s="761">
        <f>F34*F2</f>
        <v/>
      </c>
      <c r="G36" s="761">
        <f>G34*G2</f>
        <v/>
      </c>
      <c r="H36" s="761" t="n"/>
      <c r="I36" s="761">
        <f>I2*I34</f>
        <v/>
      </c>
      <c r="J36" s="761">
        <f>J2*J34-J35</f>
        <v/>
      </c>
      <c r="K36" s="761">
        <f>K2*K34</f>
        <v/>
      </c>
      <c r="L36" s="761" t="n"/>
      <c r="M36" s="761">
        <f>M2*M34</f>
        <v/>
      </c>
      <c r="N36" s="761">
        <f>N2*N34</f>
        <v/>
      </c>
      <c r="O36" s="761">
        <f>O2*O34</f>
        <v/>
      </c>
      <c r="P36" s="761">
        <f>P2*P34</f>
        <v/>
      </c>
      <c r="Q36" s="761">
        <f>Q2*Q34-Q35</f>
        <v/>
      </c>
      <c r="R36" s="762">
        <f>R2*R34-R35</f>
        <v/>
      </c>
      <c r="S36" s="761">
        <f>S2*S34</f>
        <v/>
      </c>
      <c r="T36" s="761">
        <f>T2*T34</f>
        <v/>
      </c>
      <c r="U36" s="760">
        <f>U2*U34</f>
        <v/>
      </c>
      <c r="V36" s="761" t="n"/>
      <c r="W36" s="763" t="n"/>
      <c r="X36" s="763" t="n"/>
      <c r="Y36" s="763" t="n"/>
      <c r="Z36" s="763" t="n"/>
      <c r="AA36" s="763" t="n"/>
      <c r="AB36" s="763" t="n"/>
      <c r="AC36" s="763" t="n"/>
      <c r="AD36" s="763" t="n"/>
      <c r="AE36" s="763" t="n"/>
      <c r="AF36" s="763" t="n"/>
      <c r="AG36" s="763" t="n"/>
      <c r="AH36" s="763" t="n"/>
      <c r="AI36" s="763" t="n"/>
      <c r="AJ36" s="763" t="n"/>
      <c r="AK36" s="763" t="n"/>
      <c r="AL36" s="763" t="n"/>
      <c r="AM36" s="763" t="n"/>
      <c r="AN36" s="763" t="n"/>
      <c r="AO36" s="763" t="n"/>
      <c r="AP36" s="763" t="n"/>
      <c r="AQ36" s="763" t="n"/>
      <c r="AR36" s="763" t="n"/>
      <c r="AS36" s="763" t="n"/>
      <c r="AT36" s="763" t="n"/>
      <c r="AU36" s="763" t="n"/>
      <c r="AV36" s="763" t="n"/>
      <c r="AW36" s="763" t="n"/>
      <c r="AX36" s="763" t="n"/>
      <c r="AY36" s="763" t="n"/>
      <c r="AZ36" s="763" t="n"/>
      <c r="BA36" s="763" t="n"/>
      <c r="BB36" s="763" t="n"/>
      <c r="BC36" s="763" t="n"/>
      <c r="BD36" s="763" t="n"/>
      <c r="BE36" s="763" t="n"/>
      <c r="BF36" s="763" t="n"/>
      <c r="BG36" s="763" t="n"/>
      <c r="BH36" s="763" t="n"/>
      <c r="BI36" s="763" t="n"/>
      <c r="BJ36" s="763" t="n"/>
      <c r="BK36" s="763" t="n"/>
      <c r="BL36" s="763" t="n"/>
      <c r="BM36" s="763" t="n"/>
      <c r="BN36" s="763" t="n"/>
      <c r="BO36" s="763" t="n"/>
      <c r="BP36" s="763" t="n"/>
      <c r="BQ36" s="763" t="n"/>
      <c r="BR36" s="763" t="n"/>
      <c r="BS36" s="763" t="n"/>
      <c r="BT36" s="763" t="n"/>
      <c r="BU36" s="763" t="n"/>
      <c r="BV36" s="763" t="n"/>
      <c r="BW36" s="763" t="n"/>
      <c r="BX36" s="763" t="n"/>
      <c r="BY36" s="763" t="n"/>
      <c r="BZ36" s="763" t="n"/>
      <c r="CA36" s="763" t="n"/>
      <c r="CB36" s="763" t="n"/>
      <c r="CC36" s="763" t="n"/>
      <c r="CD36" s="763" t="n"/>
      <c r="CE36" s="763" t="n"/>
      <c r="CF36" s="763" t="n"/>
      <c r="CG36" s="763" t="n"/>
      <c r="CH36" s="763" t="n"/>
      <c r="CI36" s="763" t="n"/>
      <c r="CJ36" s="763" t="n"/>
      <c r="CK36" s="763" t="n"/>
      <c r="CL36" s="763" t="n"/>
      <c r="CM36" s="763" t="n"/>
      <c r="CN36" s="763" t="n"/>
      <c r="CO36" s="763" t="n"/>
    </row>
    <row r="37" ht="18" customHeight="1" s="562">
      <c r="A37" s="764" t="n"/>
      <c r="B37" s="764" t="n"/>
      <c r="C37" s="591" t="n"/>
      <c r="D37" s="764" t="n"/>
      <c r="E37" s="764" t="n"/>
      <c r="F37" s="764" t="n"/>
      <c r="G37" s="764" t="n"/>
      <c r="H37" s="591" t="n"/>
      <c r="I37" s="591" t="n"/>
      <c r="J37" s="591" t="n"/>
      <c r="K37" s="591" t="n"/>
      <c r="L37" s="591" t="n"/>
      <c r="M37" s="591" t="n"/>
      <c r="N37" s="591" t="n"/>
      <c r="O37" s="591" t="n"/>
      <c r="P37" s="591" t="n"/>
      <c r="Q37" s="591" t="n"/>
      <c r="R37" s="591" t="n"/>
      <c r="S37" s="591" t="n"/>
      <c r="T37" s="591" t="n"/>
      <c r="U37" s="591" t="n"/>
      <c r="V37" s="591" t="n"/>
      <c r="W37" s="591" t="n"/>
      <c r="X37" s="591" t="n"/>
      <c r="Y37" s="591" t="n"/>
      <c r="Z37" s="591" t="n"/>
      <c r="AA37" s="591" t="n"/>
      <c r="AB37" s="591" t="n"/>
      <c r="AC37" s="591" t="n"/>
      <c r="AD37" s="591" t="n"/>
      <c r="AE37" s="591" t="n"/>
      <c r="AF37" s="591" t="n"/>
      <c r="AG37" s="591" t="n"/>
      <c r="AH37" s="591" t="n"/>
      <c r="AI37" s="591" t="n"/>
      <c r="AJ37" s="591" t="n"/>
      <c r="AK37" s="591" t="n"/>
      <c r="AL37" s="591" t="n"/>
      <c r="AM37" s="591" t="n"/>
      <c r="AN37" s="591" t="n"/>
      <c r="AO37" s="591" t="n"/>
      <c r="AP37" s="591" t="n"/>
      <c r="AQ37" s="591" t="n"/>
      <c r="AR37" s="591" t="n"/>
      <c r="AS37" s="591" t="n"/>
      <c r="AT37" s="591" t="n"/>
      <c r="AU37" s="591" t="n"/>
      <c r="AV37" s="591" t="n"/>
      <c r="AW37" s="591" t="n"/>
      <c r="AX37" s="591" t="n"/>
      <c r="AY37" s="591" t="n"/>
      <c r="AZ37" s="591" t="n"/>
      <c r="BA37" s="591" t="n"/>
      <c r="BB37" s="591" t="n"/>
      <c r="BC37" s="591" t="n"/>
      <c r="BD37" s="591" t="n"/>
      <c r="BE37" s="591" t="n"/>
      <c r="BF37" s="591" t="n"/>
      <c r="BG37" s="591" t="n"/>
      <c r="BH37" s="591" t="n"/>
      <c r="BI37" s="591" t="n"/>
      <c r="BJ37" s="591" t="n"/>
      <c r="BK37" s="591" t="n"/>
      <c r="BL37" s="591" t="n"/>
      <c r="BM37" s="591" t="n"/>
      <c r="BN37" s="591" t="n"/>
      <c r="BO37" s="591" t="n"/>
      <c r="BP37" s="591" t="n"/>
      <c r="BQ37" s="591" t="n"/>
      <c r="BR37" s="591" t="n"/>
      <c r="BS37" s="591" t="n"/>
      <c r="BT37" s="591" t="n"/>
      <c r="BU37" s="591" t="n"/>
      <c r="BV37" s="591" t="n"/>
      <c r="BW37" s="591" t="n"/>
      <c r="BX37" s="591" t="n"/>
      <c r="BY37" s="591" t="n"/>
      <c r="BZ37" s="591" t="n"/>
      <c r="CA37" s="591" t="n"/>
      <c r="CB37" s="591" t="n"/>
      <c r="CC37" s="591" t="n"/>
      <c r="CD37" s="591" t="n"/>
      <c r="CE37" s="591" t="n"/>
      <c r="CF37" s="591" t="n"/>
      <c r="CG37" s="591" t="n"/>
      <c r="CH37" s="591" t="n"/>
      <c r="CI37" s="591" t="n"/>
      <c r="CJ37" s="591" t="n"/>
      <c r="CK37" s="591" t="n"/>
      <c r="CL37" s="591" t="n"/>
      <c r="CM37" s="591" t="n"/>
      <c r="CN37" s="591" t="n"/>
      <c r="CO37" s="591" t="n"/>
    </row>
    <row r="38" ht="18.75" customHeight="1" s="562">
      <c r="A38" s="764" t="n"/>
      <c r="B38" s="764" t="n"/>
      <c r="C38" s="591" t="n"/>
      <c r="D38" s="764" t="n"/>
      <c r="E38" s="764" t="n"/>
      <c r="F38" s="620" t="n"/>
      <c r="G38" s="591" t="n"/>
      <c r="H38" s="591" t="n"/>
      <c r="I38" s="591" t="n"/>
      <c r="J38" s="591" t="n"/>
      <c r="K38" s="591" t="n"/>
      <c r="L38" s="591" t="n"/>
      <c r="M38" s="591" t="n"/>
      <c r="N38" s="591" t="n"/>
      <c r="O38" s="591" t="n"/>
      <c r="P38" s="591" t="n"/>
      <c r="Q38" s="591" t="n"/>
      <c r="R38" s="591" t="n"/>
      <c r="S38" s="591" t="n"/>
      <c r="T38" s="591" t="n"/>
      <c r="U38" s="591" t="n"/>
      <c r="V38" s="591" t="n"/>
      <c r="W38" s="591" t="n"/>
      <c r="X38" s="591" t="n"/>
      <c r="Y38" s="591" t="n"/>
      <c r="Z38" s="591" t="n"/>
      <c r="AA38" s="591" t="n"/>
      <c r="AB38" s="591" t="n"/>
      <c r="AC38" s="591" t="n"/>
      <c r="AD38" s="591" t="n"/>
      <c r="AE38" s="591" t="n"/>
      <c r="AF38" s="591" t="n"/>
      <c r="AG38" s="591" t="n"/>
      <c r="AH38" s="591" t="n"/>
      <c r="AI38" s="591" t="n"/>
      <c r="AJ38" s="591" t="n"/>
      <c r="AK38" s="591" t="n"/>
      <c r="AL38" s="591" t="n"/>
      <c r="AM38" s="591" t="n"/>
      <c r="AN38" s="591" t="n"/>
      <c r="AO38" s="591" t="n"/>
      <c r="AP38" s="591" t="n"/>
      <c r="AQ38" s="591" t="n"/>
      <c r="AR38" s="591" t="n"/>
      <c r="AS38" s="591" t="n"/>
      <c r="AT38" s="591" t="n"/>
      <c r="AU38" s="591" t="n"/>
      <c r="AV38" s="591" t="n"/>
      <c r="AW38" s="591" t="n"/>
      <c r="AX38" s="591" t="n"/>
      <c r="AY38" s="591" t="n"/>
      <c r="AZ38" s="591" t="n"/>
      <c r="BA38" s="591" t="n"/>
      <c r="BB38" s="591" t="n"/>
      <c r="BC38" s="591" t="n"/>
      <c r="BD38" s="591" t="n"/>
      <c r="BE38" s="591" t="n"/>
      <c r="BF38" s="591" t="n"/>
      <c r="BG38" s="591" t="n"/>
      <c r="BH38" s="591" t="n"/>
      <c r="BI38" s="591" t="n"/>
      <c r="BJ38" s="591" t="n"/>
      <c r="BK38" s="591" t="n"/>
      <c r="BL38" s="591" t="n"/>
      <c r="BM38" s="591" t="n"/>
      <c r="BN38" s="591" t="n"/>
      <c r="BO38" s="591" t="n"/>
      <c r="BP38" s="591" t="n"/>
      <c r="BQ38" s="591" t="n"/>
      <c r="BR38" s="591" t="n"/>
      <c r="BS38" s="591" t="n"/>
      <c r="BT38" s="591" t="n"/>
      <c r="BU38" s="591" t="n"/>
      <c r="BV38" s="591" t="n"/>
      <c r="BW38" s="591" t="n"/>
      <c r="BX38" s="591" t="n"/>
      <c r="BY38" s="591" t="n"/>
      <c r="BZ38" s="591" t="n"/>
      <c r="CA38" s="591" t="n"/>
      <c r="CB38" s="591" t="n"/>
      <c r="CC38" s="591" t="n"/>
      <c r="CD38" s="591" t="n"/>
      <c r="CE38" s="591" t="n"/>
      <c r="CF38" s="591" t="n"/>
      <c r="CG38" s="591" t="n"/>
      <c r="CH38" s="591" t="n"/>
      <c r="CI38" s="591" t="n"/>
      <c r="CJ38" s="591" t="n"/>
      <c r="CK38" s="591" t="n"/>
      <c r="CL38" s="591" t="n"/>
      <c r="CM38" s="591" t="n"/>
      <c r="CN38" s="591" t="n"/>
      <c r="CO38" s="591" t="n"/>
    </row>
    <row r="39" ht="18.75" customHeight="1" s="562">
      <c r="A39" s="757" t="inlineStr">
        <is>
          <t xml:space="preserve">Availble Caregiver </t>
        </is>
      </c>
      <c r="B39" s="765" t="n"/>
      <c r="C39" s="609">
        <f>SUM(C36+D36+E36+F36+G36+I36+J36+K36+M36)</f>
        <v/>
      </c>
      <c r="D39" s="764" t="n"/>
      <c r="E39" s="764" t="n"/>
      <c r="F39" s="764" t="n"/>
      <c r="G39" s="764" t="n"/>
      <c r="H39" s="591" t="n"/>
      <c r="I39" s="591" t="n"/>
      <c r="J39" s="591" t="n"/>
      <c r="K39" s="591" t="n"/>
      <c r="L39" s="591" t="n"/>
      <c r="M39" s="591" t="n"/>
      <c r="N39" s="591" t="n"/>
      <c r="O39" s="591" t="n"/>
      <c r="P39" s="591" t="n"/>
      <c r="Q39" s="591" t="n"/>
      <c r="R39" s="591" t="n"/>
      <c r="S39" s="591" t="n"/>
      <c r="T39" s="591" t="n"/>
      <c r="U39" s="591" t="n"/>
      <c r="V39" s="591" t="n"/>
      <c r="W39" s="591" t="n"/>
      <c r="X39" s="591" t="n"/>
      <c r="Y39" s="591" t="n"/>
      <c r="Z39" s="591" t="n"/>
      <c r="AA39" s="591" t="n"/>
      <c r="AB39" s="591" t="n"/>
      <c r="AC39" s="591" t="n"/>
      <c r="AD39" s="591" t="n"/>
      <c r="AE39" s="591" t="n"/>
      <c r="AF39" s="591" t="n"/>
      <c r="AG39" s="591" t="n"/>
      <c r="AH39" s="591" t="n"/>
      <c r="AI39" s="591" t="n"/>
      <c r="AJ39" s="591" t="n"/>
      <c r="AK39" s="591" t="n"/>
      <c r="AL39" s="591" t="n"/>
      <c r="AM39" s="591" t="n"/>
      <c r="AN39" s="591" t="n"/>
      <c r="AO39" s="591" t="n"/>
      <c r="AP39" s="591" t="n"/>
      <c r="AQ39" s="591" t="n"/>
      <c r="AR39" s="591" t="n"/>
      <c r="AS39" s="591" t="n"/>
      <c r="AT39" s="591" t="n"/>
      <c r="AU39" s="591" t="n"/>
      <c r="AV39" s="591" t="n"/>
      <c r="AW39" s="591" t="n"/>
      <c r="AX39" s="591" t="n"/>
      <c r="AY39" s="591" t="n"/>
      <c r="AZ39" s="591" t="n"/>
      <c r="BA39" s="591" t="n"/>
      <c r="BB39" s="591" t="n"/>
      <c r="BC39" s="591" t="n"/>
      <c r="BD39" s="591" t="n"/>
      <c r="BE39" s="591" t="n"/>
      <c r="BF39" s="591" t="n"/>
      <c r="BG39" s="591" t="n"/>
      <c r="BH39" s="591" t="n"/>
      <c r="BI39" s="591" t="n"/>
      <c r="BJ39" s="591" t="n"/>
      <c r="BK39" s="591" t="n"/>
      <c r="BL39" s="591" t="n"/>
      <c r="BM39" s="591" t="n"/>
      <c r="BN39" s="591" t="n"/>
      <c r="BO39" s="591" t="n"/>
      <c r="BP39" s="591" t="n"/>
      <c r="BQ39" s="591" t="n"/>
      <c r="BR39" s="591" t="n"/>
      <c r="BS39" s="591" t="n"/>
      <c r="BT39" s="591" t="n"/>
      <c r="BU39" s="591" t="n"/>
      <c r="BV39" s="591" t="n"/>
      <c r="BW39" s="591" t="n"/>
      <c r="BX39" s="591" t="n"/>
      <c r="BY39" s="591" t="n"/>
      <c r="BZ39" s="591" t="n"/>
      <c r="CA39" s="591" t="n"/>
      <c r="CB39" s="591" t="n"/>
      <c r="CC39" s="591" t="n"/>
      <c r="CD39" s="591" t="n"/>
      <c r="CE39" s="591" t="n"/>
      <c r="CF39" s="591" t="n"/>
      <c r="CG39" s="591" t="n"/>
      <c r="CH39" s="591" t="n"/>
      <c r="CI39" s="591" t="n"/>
      <c r="CJ39" s="591" t="n"/>
      <c r="CK39" s="591" t="n"/>
      <c r="CL39" s="591" t="n"/>
      <c r="CM39" s="591" t="n"/>
      <c r="CN39" s="591" t="n"/>
      <c r="CO39" s="591" t="n"/>
    </row>
    <row r="40" ht="18" customHeight="1" s="562">
      <c r="A40" s="764" t="inlineStr">
        <is>
          <t>Tabea</t>
        </is>
      </c>
      <c r="B40" s="764" t="n"/>
      <c r="C40" s="591" t="n"/>
      <c r="D40" s="764" t="n"/>
      <c r="E40" s="764" t="n"/>
      <c r="F40" s="764" t="n"/>
      <c r="G40" s="764" t="n"/>
      <c r="H40" s="591" t="n"/>
      <c r="I40" s="591" t="n"/>
      <c r="J40" s="591" t="n"/>
      <c r="K40" s="591" t="n"/>
      <c r="L40" s="591" t="n"/>
      <c r="M40" s="591" t="n"/>
      <c r="N40" s="591" t="n"/>
      <c r="O40" s="591" t="n"/>
      <c r="P40" s="591" t="n"/>
      <c r="Q40" s="591" t="n"/>
      <c r="R40" s="591" t="n"/>
      <c r="S40" s="591" t="n"/>
      <c r="T40" s="591" t="n"/>
      <c r="U40" s="591" t="n"/>
      <c r="V40" s="591" t="n"/>
      <c r="W40" s="591" t="n"/>
      <c r="X40" s="591" t="n"/>
      <c r="Y40" s="591" t="n"/>
      <c r="Z40" s="591" t="n"/>
      <c r="AA40" s="591" t="n"/>
      <c r="AB40" s="591" t="n"/>
      <c r="AC40" s="591" t="n"/>
      <c r="AD40" s="591" t="n"/>
      <c r="AE40" s="591" t="n"/>
      <c r="AF40" s="591" t="n"/>
      <c r="AG40" s="591" t="n"/>
      <c r="AH40" s="591" t="n"/>
      <c r="AI40" s="591" t="n"/>
      <c r="AJ40" s="591" t="n"/>
      <c r="AK40" s="591" t="n"/>
      <c r="AL40" s="591" t="n"/>
      <c r="AM40" s="591" t="n"/>
      <c r="AN40" s="591" t="n"/>
      <c r="AO40" s="591" t="n"/>
      <c r="AP40" s="591" t="n"/>
      <c r="AQ40" s="591" t="n"/>
      <c r="AR40" s="591" t="n"/>
      <c r="AS40" s="591" t="n"/>
      <c r="AT40" s="591" t="n"/>
      <c r="AU40" s="591" t="n"/>
      <c r="AV40" s="591" t="n"/>
      <c r="AW40" s="591" t="n"/>
      <c r="AX40" s="591" t="n"/>
      <c r="AY40" s="591" t="n"/>
      <c r="AZ40" s="591" t="n"/>
      <c r="BA40" s="591" t="n"/>
      <c r="BB40" s="591" t="n"/>
      <c r="BC40" s="591" t="n"/>
      <c r="BD40" s="591" t="n"/>
      <c r="BE40" s="591" t="n"/>
      <c r="BF40" s="591" t="n"/>
      <c r="BG40" s="591" t="n"/>
      <c r="BH40" s="591" t="n"/>
      <c r="BI40" s="591" t="n"/>
      <c r="BJ40" s="591" t="n"/>
      <c r="BK40" s="591" t="n"/>
      <c r="BL40" s="591" t="n"/>
      <c r="BM40" s="591" t="n"/>
      <c r="BN40" s="591" t="n"/>
      <c r="BO40" s="591" t="n"/>
      <c r="BP40" s="591" t="n"/>
      <c r="BQ40" s="591" t="n"/>
      <c r="BR40" s="591" t="n"/>
      <c r="BS40" s="591" t="n"/>
      <c r="BT40" s="591" t="n"/>
      <c r="BU40" s="591" t="n"/>
      <c r="BV40" s="591" t="n"/>
      <c r="BW40" s="591" t="n"/>
      <c r="BX40" s="591" t="n"/>
      <c r="BY40" s="591" t="n"/>
      <c r="BZ40" s="591" t="n"/>
      <c r="CA40" s="591" t="n"/>
      <c r="CB40" s="591" t="n"/>
      <c r="CC40" s="591" t="n"/>
      <c r="CD40" s="591" t="n"/>
      <c r="CE40" s="591" t="n"/>
      <c r="CF40" s="591" t="n"/>
      <c r="CG40" s="591" t="n"/>
      <c r="CH40" s="591" t="n"/>
      <c r="CI40" s="591" t="n"/>
      <c r="CJ40" s="591" t="n"/>
      <c r="CK40" s="591" t="n"/>
      <c r="CL40" s="591" t="n"/>
      <c r="CM40" s="591" t="n"/>
      <c r="CN40" s="591" t="n"/>
      <c r="CO40" s="591" t="n"/>
    </row>
    <row r="41" ht="18" customHeight="1" s="562">
      <c r="A41" s="764" t="inlineStr">
        <is>
          <t xml:space="preserve">Tracy </t>
        </is>
      </c>
      <c r="B41" s="764" t="n"/>
      <c r="C41" s="591" t="n"/>
      <c r="D41" s="764" t="n"/>
      <c r="E41" s="764" t="n"/>
      <c r="F41" s="764" t="n"/>
      <c r="G41" s="764" t="n"/>
      <c r="H41" s="591" t="n"/>
      <c r="I41" s="591" t="n"/>
      <c r="J41" s="591" t="n"/>
      <c r="K41" s="591" t="n"/>
      <c r="L41" s="591" t="n"/>
      <c r="M41" s="591" t="n"/>
      <c r="N41" s="591" t="n"/>
      <c r="O41" s="591" t="n"/>
      <c r="P41" s="591" t="n"/>
      <c r="Q41" s="591" t="n"/>
      <c r="R41" s="591" t="n"/>
      <c r="S41" s="591" t="n"/>
      <c r="T41" s="591" t="n"/>
      <c r="U41" s="591" t="n"/>
      <c r="V41" s="591" t="n"/>
      <c r="W41" s="591" t="n"/>
      <c r="X41" s="591" t="n"/>
      <c r="Y41" s="591" t="n"/>
      <c r="Z41" s="591" t="n"/>
      <c r="AA41" s="591" t="n"/>
      <c r="AB41" s="591" t="n"/>
      <c r="AC41" s="591" t="n"/>
      <c r="AD41" s="591" t="n"/>
      <c r="AE41" s="591" t="n"/>
      <c r="AF41" s="591" t="n"/>
      <c r="AG41" s="591" t="n"/>
      <c r="AH41" s="591" t="n"/>
      <c r="AI41" s="591" t="n"/>
      <c r="AJ41" s="591" t="n"/>
      <c r="AK41" s="591" t="n"/>
      <c r="AL41" s="591" t="n"/>
      <c r="AM41" s="591" t="n"/>
      <c r="AN41" s="591" t="n"/>
      <c r="AO41" s="591" t="n"/>
      <c r="AP41" s="591" t="n"/>
      <c r="AQ41" s="591" t="n"/>
      <c r="AR41" s="591" t="n"/>
      <c r="AS41" s="591" t="n"/>
      <c r="AT41" s="591" t="n"/>
      <c r="AU41" s="591" t="n"/>
      <c r="AV41" s="591" t="n"/>
      <c r="AW41" s="591" t="n"/>
      <c r="AX41" s="591" t="n"/>
      <c r="AY41" s="591" t="n"/>
      <c r="AZ41" s="591" t="n"/>
      <c r="BA41" s="591" t="n"/>
      <c r="BB41" s="591" t="n"/>
      <c r="BC41" s="591" t="n"/>
      <c r="BD41" s="591" t="n"/>
      <c r="BE41" s="591" t="n"/>
      <c r="BF41" s="591" t="n"/>
      <c r="BG41" s="591" t="n"/>
      <c r="BH41" s="591" t="n"/>
      <c r="BI41" s="591" t="n"/>
      <c r="BJ41" s="591" t="n"/>
      <c r="BK41" s="591" t="n"/>
      <c r="BL41" s="591" t="n"/>
      <c r="BM41" s="591" t="n"/>
      <c r="BN41" s="591" t="n"/>
      <c r="BO41" s="591" t="n"/>
      <c r="BP41" s="591" t="n"/>
      <c r="BQ41" s="591" t="n"/>
      <c r="BR41" s="591" t="n"/>
      <c r="BS41" s="591" t="n"/>
      <c r="BT41" s="591" t="n"/>
      <c r="BU41" s="591" t="n"/>
      <c r="BV41" s="591" t="n"/>
      <c r="BW41" s="591" t="n"/>
      <c r="BX41" s="591" t="n"/>
      <c r="BY41" s="591" t="n"/>
      <c r="BZ41" s="591" t="n"/>
      <c r="CA41" s="591" t="n"/>
      <c r="CB41" s="591" t="n"/>
      <c r="CC41" s="591" t="n"/>
      <c r="CD41" s="591" t="n"/>
      <c r="CE41" s="591" t="n"/>
      <c r="CF41" s="591" t="n"/>
      <c r="CG41" s="591" t="n"/>
      <c r="CH41" s="591" t="n"/>
      <c r="CI41" s="591" t="n"/>
      <c r="CJ41" s="591" t="n"/>
      <c r="CK41" s="591" t="n"/>
      <c r="CL41" s="591" t="n"/>
      <c r="CM41" s="591" t="n"/>
      <c r="CN41" s="591" t="n"/>
      <c r="CO41" s="591" t="n"/>
    </row>
    <row r="42" ht="18" customHeight="1" s="562">
      <c r="A42" s="764" t="inlineStr">
        <is>
          <t xml:space="preserve">Lerato </t>
        </is>
      </c>
      <c r="B42" s="764" t="n"/>
      <c r="C42" s="609">
        <f>MIN(B36-C39)</f>
        <v/>
      </c>
      <c r="D42" s="764" t="n"/>
      <c r="E42" s="764" t="n"/>
      <c r="F42" s="764" t="n"/>
      <c r="G42" s="764" t="n"/>
      <c r="H42" s="591" t="n"/>
      <c r="I42" s="591" t="n"/>
      <c r="J42" s="591" t="n"/>
      <c r="K42" s="591" t="n"/>
      <c r="L42" s="591" t="n"/>
      <c r="M42" s="591" t="n"/>
      <c r="N42" s="591" t="n"/>
      <c r="O42" s="591" t="n"/>
      <c r="P42" s="591" t="n"/>
      <c r="Q42" s="591" t="n"/>
      <c r="R42" s="591" t="n"/>
      <c r="S42" s="591" t="n"/>
      <c r="T42" s="591" t="n"/>
      <c r="U42" s="591" t="n"/>
      <c r="V42" s="591" t="n"/>
      <c r="W42" s="591" t="n"/>
      <c r="X42" s="591" t="n"/>
      <c r="Y42" s="591" t="n"/>
      <c r="Z42" s="591" t="n"/>
      <c r="AA42" s="591" t="n"/>
      <c r="AB42" s="591" t="n"/>
      <c r="AC42" s="591" t="n"/>
      <c r="AD42" s="591" t="n"/>
      <c r="AE42" s="591" t="n"/>
      <c r="AF42" s="591" t="n"/>
      <c r="AG42" s="591" t="n"/>
      <c r="AH42" s="591" t="n"/>
      <c r="AI42" s="591" t="n"/>
      <c r="AJ42" s="591" t="n"/>
      <c r="AK42" s="591" t="n"/>
      <c r="AL42" s="591" t="n"/>
      <c r="AM42" s="591" t="n"/>
      <c r="AN42" s="591" t="n"/>
      <c r="AO42" s="591" t="n"/>
      <c r="AP42" s="591" t="n"/>
      <c r="AQ42" s="591" t="n"/>
      <c r="AR42" s="591" t="n"/>
      <c r="AS42" s="591" t="n"/>
      <c r="AT42" s="591" t="n"/>
      <c r="AU42" s="591" t="n"/>
      <c r="AV42" s="591" t="n"/>
      <c r="AW42" s="591" t="n"/>
      <c r="AX42" s="591" t="n"/>
      <c r="AY42" s="591" t="n"/>
      <c r="AZ42" s="591" t="n"/>
      <c r="BA42" s="591" t="n"/>
      <c r="BB42" s="591" t="n"/>
      <c r="BC42" s="591" t="n"/>
      <c r="BD42" s="591" t="n"/>
      <c r="BE42" s="591" t="n"/>
      <c r="BF42" s="591" t="n"/>
      <c r="BG42" s="591" t="n"/>
      <c r="BH42" s="591" t="n"/>
      <c r="BI42" s="591" t="n"/>
      <c r="BJ42" s="591" t="n"/>
      <c r="BK42" s="591" t="n"/>
      <c r="BL42" s="591" t="n"/>
      <c r="BM42" s="591" t="n"/>
      <c r="BN42" s="591" t="n"/>
      <c r="BO42" s="591" t="n"/>
      <c r="BP42" s="591" t="n"/>
      <c r="BQ42" s="591" t="n"/>
      <c r="BR42" s="591" t="n"/>
      <c r="BS42" s="591" t="n"/>
      <c r="BT42" s="591" t="n"/>
      <c r="BU42" s="591" t="n"/>
      <c r="BV42" s="591" t="n"/>
      <c r="BW42" s="591" t="n"/>
      <c r="BX42" s="591" t="n"/>
      <c r="BY42" s="591" t="n"/>
      <c r="BZ42" s="591" t="n"/>
      <c r="CA42" s="591" t="n"/>
      <c r="CB42" s="591" t="n"/>
      <c r="CC42" s="591" t="n"/>
      <c r="CD42" s="591" t="n"/>
      <c r="CE42" s="591" t="n"/>
      <c r="CF42" s="591" t="n"/>
      <c r="CG42" s="591" t="n"/>
      <c r="CH42" s="591" t="n"/>
      <c r="CI42" s="591" t="n"/>
      <c r="CJ42" s="591" t="n"/>
      <c r="CK42" s="591" t="n"/>
      <c r="CL42" s="591" t="n"/>
      <c r="CM42" s="591" t="n"/>
      <c r="CN42" s="591" t="n"/>
      <c r="CO42" s="591" t="n"/>
    </row>
    <row r="43" ht="18" customHeight="1" s="562">
      <c r="A43" s="764" t="n"/>
      <c r="B43" s="764" t="n"/>
      <c r="C43" s="591" t="n"/>
      <c r="D43" s="764" t="n"/>
      <c r="E43" s="764" t="n"/>
      <c r="F43" s="764" t="n"/>
      <c r="G43" s="764" t="n"/>
      <c r="H43" s="591" t="n"/>
      <c r="I43" s="591" t="n"/>
      <c r="J43" s="591" t="n"/>
      <c r="K43" s="591" t="n"/>
      <c r="L43" s="591" t="n"/>
      <c r="M43" s="591" t="n"/>
      <c r="N43" s="591" t="n"/>
      <c r="O43" s="591" t="n"/>
      <c r="P43" s="591" t="n"/>
      <c r="Q43" s="591" t="n"/>
      <c r="R43" s="591" t="n"/>
      <c r="S43" s="591" t="n"/>
      <c r="T43" s="591" t="n"/>
      <c r="U43" s="591" t="n"/>
      <c r="V43" s="591" t="n"/>
      <c r="W43" s="591" t="n"/>
      <c r="X43" s="591" t="n"/>
      <c r="Y43" s="591" t="n"/>
      <c r="Z43" s="591" t="n"/>
      <c r="AA43" s="591" t="n"/>
      <c r="AB43" s="591" t="n"/>
      <c r="AC43" s="591" t="n"/>
      <c r="AD43" s="591" t="n"/>
      <c r="AE43" s="591" t="n"/>
      <c r="AF43" s="591" t="n"/>
      <c r="AG43" s="591" t="n"/>
      <c r="AH43" s="591" t="n"/>
      <c r="AI43" s="591" t="n"/>
      <c r="AJ43" s="591" t="n"/>
      <c r="AK43" s="591" t="n"/>
      <c r="AL43" s="591" t="n"/>
      <c r="AM43" s="591" t="n"/>
      <c r="AN43" s="591" t="n"/>
      <c r="AO43" s="591" t="n"/>
      <c r="AP43" s="591" t="n"/>
      <c r="AQ43" s="591" t="n"/>
      <c r="AR43" s="591" t="n"/>
      <c r="AS43" s="591" t="n"/>
      <c r="AT43" s="591" t="n"/>
      <c r="AU43" s="591" t="n"/>
      <c r="AV43" s="591" t="n"/>
      <c r="AW43" s="591" t="n"/>
      <c r="AX43" s="591" t="n"/>
      <c r="AY43" s="591" t="n"/>
      <c r="AZ43" s="591" t="n"/>
      <c r="BA43" s="591" t="n"/>
      <c r="BB43" s="591" t="n"/>
      <c r="BC43" s="591" t="n"/>
      <c r="BD43" s="591" t="n"/>
      <c r="BE43" s="591" t="n"/>
      <c r="BF43" s="591" t="n"/>
      <c r="BG43" s="591" t="n"/>
      <c r="BH43" s="591" t="n"/>
      <c r="BI43" s="591" t="n"/>
      <c r="BJ43" s="591" t="n"/>
      <c r="BK43" s="591" t="n"/>
      <c r="BL43" s="591" t="n"/>
      <c r="BM43" s="591" t="n"/>
      <c r="BN43" s="591" t="n"/>
      <c r="BO43" s="591" t="n"/>
      <c r="BP43" s="591" t="n"/>
      <c r="BQ43" s="591" t="n"/>
      <c r="BR43" s="591" t="n"/>
      <c r="BS43" s="591" t="n"/>
      <c r="BT43" s="591" t="n"/>
      <c r="BU43" s="591" t="n"/>
      <c r="BV43" s="591" t="n"/>
      <c r="BW43" s="591" t="n"/>
      <c r="BX43" s="591" t="n"/>
      <c r="BY43" s="591" t="n"/>
      <c r="BZ43" s="591" t="n"/>
      <c r="CA43" s="591" t="n"/>
      <c r="CB43" s="591" t="n"/>
      <c r="CC43" s="591" t="n"/>
      <c r="CD43" s="591" t="n"/>
      <c r="CE43" s="591" t="n"/>
      <c r="CF43" s="591" t="n"/>
      <c r="CG43" s="591" t="n"/>
      <c r="CH43" s="591" t="n"/>
      <c r="CI43" s="591" t="n"/>
      <c r="CJ43" s="591" t="n"/>
      <c r="CK43" s="591" t="n"/>
      <c r="CL43" s="591" t="n"/>
      <c r="CM43" s="591" t="n"/>
      <c r="CN43" s="591" t="n"/>
      <c r="CO43" s="591" t="n"/>
    </row>
    <row r="44" ht="18" customHeight="1" s="562">
      <c r="A44" s="764" t="n"/>
      <c r="B44" s="764" t="n"/>
      <c r="C44" s="591" t="n"/>
      <c r="D44" s="764" t="n"/>
      <c r="E44" s="764" t="n"/>
      <c r="F44" s="764" t="n"/>
      <c r="G44" s="764" t="n"/>
      <c r="H44" s="591" t="n"/>
      <c r="I44" s="591" t="n"/>
      <c r="J44" s="591" t="n"/>
      <c r="K44" s="591" t="n"/>
      <c r="L44" s="591" t="n"/>
      <c r="M44" s="591" t="n"/>
      <c r="N44" s="591" t="n"/>
      <c r="O44" s="591" t="n"/>
      <c r="P44" s="591" t="n"/>
      <c r="Q44" s="591" t="n"/>
      <c r="R44" s="591" t="n"/>
      <c r="S44" s="591" t="n"/>
      <c r="T44" s="591" t="n"/>
      <c r="U44" s="591" t="n"/>
      <c r="V44" s="591" t="n"/>
      <c r="W44" s="591" t="n"/>
      <c r="X44" s="591" t="n"/>
      <c r="Y44" s="591" t="n"/>
      <c r="Z44" s="591" t="n"/>
      <c r="AA44" s="591" t="n"/>
      <c r="AB44" s="591" t="n"/>
      <c r="AC44" s="591" t="n"/>
      <c r="AD44" s="591" t="n"/>
      <c r="AE44" s="591" t="n"/>
      <c r="AF44" s="591" t="n"/>
      <c r="AG44" s="591" t="n"/>
      <c r="AH44" s="591" t="n"/>
      <c r="AI44" s="591" t="n"/>
      <c r="AJ44" s="591" t="n"/>
      <c r="AK44" s="591" t="n"/>
      <c r="AL44" s="591" t="n"/>
      <c r="AM44" s="591" t="n"/>
      <c r="AN44" s="591" t="n"/>
      <c r="AO44" s="591" t="n"/>
      <c r="AP44" s="591" t="n"/>
      <c r="AQ44" s="591" t="n"/>
      <c r="AR44" s="591" t="n"/>
      <c r="AS44" s="591" t="n"/>
      <c r="AT44" s="591" t="n"/>
      <c r="AU44" s="591" t="n"/>
      <c r="AV44" s="591" t="n"/>
      <c r="AW44" s="591" t="n"/>
      <c r="AX44" s="591" t="n"/>
      <c r="AY44" s="591" t="n"/>
      <c r="AZ44" s="591" t="n"/>
      <c r="BA44" s="591" t="n"/>
      <c r="BB44" s="591" t="n"/>
      <c r="BC44" s="591" t="n"/>
      <c r="BD44" s="591" t="n"/>
      <c r="BE44" s="591" t="n"/>
      <c r="BF44" s="591" t="n"/>
      <c r="BG44" s="591" t="n"/>
      <c r="BH44" s="591" t="n"/>
      <c r="BI44" s="591" t="n"/>
      <c r="BJ44" s="591" t="n"/>
      <c r="BK44" s="591" t="n"/>
      <c r="BL44" s="591" t="n"/>
      <c r="BM44" s="591" t="n"/>
      <c r="BN44" s="591" t="n"/>
      <c r="BO44" s="591" t="n"/>
      <c r="BP44" s="591" t="n"/>
      <c r="BQ44" s="591" t="n"/>
      <c r="BR44" s="591" t="n"/>
      <c r="BS44" s="591" t="n"/>
      <c r="BT44" s="591" t="n"/>
      <c r="BU44" s="591" t="n"/>
      <c r="BV44" s="591" t="n"/>
      <c r="BW44" s="591" t="n"/>
      <c r="BX44" s="591" t="n"/>
      <c r="BY44" s="591" t="n"/>
      <c r="BZ44" s="591" t="n"/>
      <c r="CA44" s="591" t="n"/>
      <c r="CB44" s="591" t="n"/>
      <c r="CC44" s="591" t="n"/>
      <c r="CD44" s="591" t="n"/>
      <c r="CE44" s="591" t="n"/>
      <c r="CF44" s="591" t="n"/>
      <c r="CG44" s="591" t="n"/>
      <c r="CH44" s="591" t="n"/>
      <c r="CI44" s="591" t="n"/>
      <c r="CJ44" s="591" t="n"/>
      <c r="CK44" s="591" t="n"/>
      <c r="CL44" s="591" t="n"/>
      <c r="CM44" s="591" t="n"/>
      <c r="CN44" s="591" t="n"/>
      <c r="CO44" s="591" t="n"/>
    </row>
    <row r="45" ht="18" customHeight="1" s="562">
      <c r="A45" s="764" t="n"/>
      <c r="B45" s="764" t="n"/>
      <c r="C45" s="591" t="n"/>
      <c r="D45" s="764" t="n"/>
      <c r="E45" s="764" t="n"/>
      <c r="F45" s="764" t="n"/>
      <c r="G45" s="764" t="n"/>
      <c r="H45" s="591" t="n"/>
      <c r="I45" s="591" t="n"/>
      <c r="J45" s="591" t="n"/>
      <c r="K45" s="591" t="n"/>
      <c r="L45" s="591" t="n"/>
      <c r="M45" s="591" t="n"/>
      <c r="N45" s="591" t="n"/>
      <c r="O45" s="591" t="n"/>
      <c r="P45" s="591" t="n"/>
      <c r="Q45" s="591" t="n"/>
      <c r="R45" s="591" t="n"/>
      <c r="S45" s="591" t="n"/>
      <c r="T45" s="591" t="n"/>
      <c r="U45" s="591" t="n"/>
      <c r="V45" s="591" t="n"/>
      <c r="W45" s="591" t="n"/>
      <c r="X45" s="591" t="n"/>
      <c r="Y45" s="591" t="n"/>
      <c r="Z45" s="591" t="n"/>
      <c r="AA45" s="591" t="n"/>
      <c r="AB45" s="591" t="n"/>
      <c r="AC45" s="591" t="n"/>
      <c r="AD45" s="591" t="n"/>
      <c r="AE45" s="591" t="n"/>
      <c r="AF45" s="591" t="n"/>
      <c r="AG45" s="591" t="n"/>
      <c r="AH45" s="591" t="n"/>
      <c r="AI45" s="591" t="n"/>
      <c r="AJ45" s="591" t="n"/>
      <c r="AK45" s="591" t="n"/>
      <c r="AL45" s="591" t="n"/>
      <c r="AM45" s="591" t="n"/>
      <c r="AN45" s="591" t="n"/>
      <c r="AO45" s="591" t="n"/>
      <c r="AP45" s="591" t="n"/>
      <c r="AQ45" s="591" t="n"/>
      <c r="AR45" s="591" t="n"/>
      <c r="AS45" s="591" t="n"/>
      <c r="AT45" s="591" t="n"/>
      <c r="AU45" s="591" t="n"/>
      <c r="AV45" s="591" t="n"/>
      <c r="AW45" s="591" t="n"/>
      <c r="AX45" s="591" t="n"/>
      <c r="AY45" s="591" t="n"/>
      <c r="AZ45" s="591" t="n"/>
      <c r="BA45" s="591" t="n"/>
      <c r="BB45" s="591" t="n"/>
      <c r="BC45" s="591" t="n"/>
      <c r="BD45" s="591" t="n"/>
      <c r="BE45" s="591" t="n"/>
      <c r="BF45" s="591" t="n"/>
      <c r="BG45" s="591" t="n"/>
      <c r="BH45" s="591" t="n"/>
      <c r="BI45" s="591" t="n"/>
      <c r="BJ45" s="591" t="n"/>
      <c r="BK45" s="591" t="n"/>
      <c r="BL45" s="591" t="n"/>
      <c r="BM45" s="591" t="n"/>
      <c r="BN45" s="591" t="n"/>
      <c r="BO45" s="591" t="n"/>
      <c r="BP45" s="591" t="n"/>
      <c r="BQ45" s="591" t="n"/>
      <c r="BR45" s="591" t="n"/>
      <c r="BS45" s="591" t="n"/>
      <c r="BT45" s="591" t="n"/>
      <c r="BU45" s="591" t="n"/>
      <c r="BV45" s="591" t="n"/>
      <c r="BW45" s="591" t="n"/>
      <c r="BX45" s="591" t="n"/>
      <c r="BY45" s="591" t="n"/>
      <c r="BZ45" s="591" t="n"/>
      <c r="CA45" s="591" t="n"/>
      <c r="CB45" s="591" t="n"/>
      <c r="CC45" s="591" t="n"/>
      <c r="CD45" s="591" t="n"/>
      <c r="CE45" s="591" t="n"/>
      <c r="CF45" s="591" t="n"/>
      <c r="CG45" s="591" t="n"/>
      <c r="CH45" s="591" t="n"/>
      <c r="CI45" s="591" t="n"/>
      <c r="CJ45" s="591" t="n"/>
      <c r="CK45" s="591" t="n"/>
      <c r="CL45" s="591" t="n"/>
      <c r="CM45" s="591" t="n"/>
      <c r="CN45" s="591" t="n"/>
      <c r="CO45" s="591" t="n"/>
    </row>
    <row r="46" ht="18" customHeight="1" s="562">
      <c r="A46" s="764" t="n"/>
      <c r="B46" s="764" t="n"/>
      <c r="C46" s="591" t="n"/>
      <c r="D46" s="764" t="n"/>
      <c r="E46" s="764" t="n"/>
      <c r="F46" s="764" t="n"/>
      <c r="G46" s="764" t="n"/>
      <c r="H46" s="591" t="n"/>
      <c r="I46" s="591" t="n"/>
      <c r="J46" s="591" t="n"/>
      <c r="K46" s="591" t="n"/>
      <c r="L46" s="591" t="n"/>
      <c r="M46" s="591" t="n"/>
      <c r="N46" s="591" t="n"/>
      <c r="O46" s="591" t="n"/>
      <c r="P46" s="591" t="n"/>
      <c r="Q46" s="591" t="n"/>
      <c r="R46" s="591" t="n"/>
      <c r="S46" s="591" t="n"/>
      <c r="T46" s="591" t="n"/>
      <c r="U46" s="591" t="n"/>
      <c r="V46" s="591" t="n"/>
      <c r="W46" s="591" t="n"/>
      <c r="X46" s="591" t="n"/>
      <c r="Y46" s="591" t="n"/>
      <c r="Z46" s="591" t="n"/>
      <c r="AA46" s="591" t="n"/>
      <c r="AB46" s="591" t="n"/>
      <c r="AC46" s="591" t="n"/>
      <c r="AD46" s="591" t="n"/>
      <c r="AE46" s="591" t="n"/>
      <c r="AF46" s="591" t="n"/>
      <c r="AG46" s="591" t="n"/>
      <c r="AH46" s="591" t="n"/>
      <c r="AI46" s="591" t="n"/>
      <c r="AJ46" s="591" t="n"/>
      <c r="AK46" s="591" t="n"/>
      <c r="AL46" s="591" t="n"/>
      <c r="AM46" s="591" t="n"/>
      <c r="AN46" s="591" t="n"/>
      <c r="AO46" s="591" t="n"/>
      <c r="AP46" s="591" t="n"/>
      <c r="AQ46" s="591" t="n"/>
      <c r="AR46" s="591" t="n"/>
      <c r="AS46" s="591" t="n"/>
      <c r="AT46" s="591" t="n"/>
      <c r="AU46" s="591" t="n"/>
      <c r="AV46" s="591" t="n"/>
      <c r="AW46" s="591" t="n"/>
      <c r="AX46" s="591" t="n"/>
      <c r="AY46" s="591" t="n"/>
      <c r="AZ46" s="591" t="n"/>
      <c r="BA46" s="591" t="n"/>
      <c r="BB46" s="591" t="n"/>
      <c r="BC46" s="591" t="n"/>
      <c r="BD46" s="591" t="n"/>
      <c r="BE46" s="591" t="n"/>
      <c r="BF46" s="591" t="n"/>
      <c r="BG46" s="591" t="n"/>
      <c r="BH46" s="591" t="n"/>
      <c r="BI46" s="591" t="n"/>
      <c r="BJ46" s="591" t="n"/>
      <c r="BK46" s="591" t="n"/>
      <c r="BL46" s="591" t="n"/>
      <c r="BM46" s="591" t="n"/>
      <c r="BN46" s="591" t="n"/>
      <c r="BO46" s="591" t="n"/>
      <c r="BP46" s="591" t="n"/>
      <c r="BQ46" s="591" t="n"/>
      <c r="BR46" s="591" t="n"/>
      <c r="BS46" s="591" t="n"/>
      <c r="BT46" s="591" t="n"/>
      <c r="BU46" s="591" t="n"/>
      <c r="BV46" s="591" t="n"/>
      <c r="BW46" s="591" t="n"/>
      <c r="BX46" s="591" t="n"/>
      <c r="BY46" s="591" t="n"/>
      <c r="BZ46" s="591" t="n"/>
      <c r="CA46" s="591" t="n"/>
      <c r="CB46" s="591" t="n"/>
      <c r="CC46" s="591" t="n"/>
      <c r="CD46" s="591" t="n"/>
      <c r="CE46" s="591" t="n"/>
      <c r="CF46" s="591" t="n"/>
      <c r="CG46" s="591" t="n"/>
      <c r="CH46" s="591" t="n"/>
      <c r="CI46" s="591" t="n"/>
      <c r="CJ46" s="591" t="n"/>
      <c r="CK46" s="591" t="n"/>
      <c r="CL46" s="591" t="n"/>
      <c r="CM46" s="591" t="n"/>
      <c r="CN46" s="591" t="n"/>
      <c r="CO46" s="591" t="n"/>
    </row>
    <row r="47" ht="18" customHeight="1" s="562">
      <c r="A47" s="764" t="n"/>
      <c r="B47" s="764" t="n"/>
      <c r="C47" s="591" t="n"/>
      <c r="D47" s="764" t="n"/>
      <c r="E47" s="764" t="n"/>
      <c r="F47" s="764" t="n"/>
      <c r="G47" s="764" t="n"/>
      <c r="H47" s="591" t="n"/>
      <c r="I47" s="591" t="n"/>
      <c r="J47" s="591" t="n"/>
      <c r="K47" s="591" t="n"/>
      <c r="L47" s="591" t="n"/>
      <c r="M47" s="591" t="n"/>
      <c r="N47" s="591" t="n"/>
      <c r="O47" s="591" t="n"/>
      <c r="P47" s="591" t="n"/>
      <c r="Q47" s="591" t="n"/>
      <c r="R47" s="591" t="n"/>
      <c r="S47" s="591" t="n"/>
      <c r="T47" s="591" t="n"/>
      <c r="U47" s="591" t="n"/>
      <c r="V47" s="591" t="n"/>
      <c r="W47" s="591" t="n"/>
      <c r="X47" s="591" t="n"/>
      <c r="Y47" s="591" t="n"/>
      <c r="Z47" s="591" t="n"/>
      <c r="AA47" s="591" t="n"/>
      <c r="AB47" s="591" t="n"/>
      <c r="AC47" s="591" t="n"/>
      <c r="AD47" s="591" t="n"/>
      <c r="AE47" s="591" t="n"/>
      <c r="AF47" s="591" t="n"/>
      <c r="AG47" s="591" t="n"/>
      <c r="AH47" s="591" t="n"/>
      <c r="AI47" s="591" t="n"/>
      <c r="AJ47" s="591" t="n"/>
      <c r="AK47" s="591" t="n"/>
      <c r="AL47" s="591" t="n"/>
      <c r="AM47" s="591" t="n"/>
      <c r="AN47" s="591" t="n"/>
      <c r="AO47" s="591" t="n"/>
      <c r="AP47" s="591" t="n"/>
      <c r="AQ47" s="591" t="n"/>
      <c r="AR47" s="591" t="n"/>
      <c r="AS47" s="591" t="n"/>
      <c r="AT47" s="591" t="n"/>
      <c r="AU47" s="591" t="n"/>
      <c r="AV47" s="591" t="n"/>
      <c r="AW47" s="591" t="n"/>
      <c r="AX47" s="591" t="n"/>
      <c r="AY47" s="591" t="n"/>
      <c r="AZ47" s="591" t="n"/>
      <c r="BA47" s="591" t="n"/>
      <c r="BB47" s="591" t="n"/>
      <c r="BC47" s="591" t="n"/>
      <c r="BD47" s="591" t="n"/>
      <c r="BE47" s="591" t="n"/>
      <c r="BF47" s="591" t="n"/>
      <c r="BG47" s="591" t="n"/>
      <c r="BH47" s="591" t="n"/>
      <c r="BI47" s="591" t="n"/>
      <c r="BJ47" s="591" t="n"/>
      <c r="BK47" s="591" t="n"/>
      <c r="BL47" s="591" t="n"/>
      <c r="BM47" s="591" t="n"/>
      <c r="BN47" s="591" t="n"/>
      <c r="BO47" s="591" t="n"/>
      <c r="BP47" s="591" t="n"/>
      <c r="BQ47" s="591" t="n"/>
      <c r="BR47" s="591" t="n"/>
      <c r="BS47" s="591" t="n"/>
      <c r="BT47" s="591" t="n"/>
      <c r="BU47" s="591" t="n"/>
      <c r="BV47" s="591" t="n"/>
      <c r="BW47" s="591" t="n"/>
      <c r="BX47" s="591" t="n"/>
      <c r="BY47" s="591" t="n"/>
      <c r="BZ47" s="591" t="n"/>
      <c r="CA47" s="591" t="n"/>
      <c r="CB47" s="591" t="n"/>
      <c r="CC47" s="591" t="n"/>
      <c r="CD47" s="591" t="n"/>
      <c r="CE47" s="591" t="n"/>
      <c r="CF47" s="591" t="n"/>
      <c r="CG47" s="591" t="n"/>
      <c r="CH47" s="591" t="n"/>
      <c r="CI47" s="591" t="n"/>
      <c r="CJ47" s="591" t="n"/>
      <c r="CK47" s="591" t="n"/>
      <c r="CL47" s="591" t="n"/>
      <c r="CM47" s="591" t="n"/>
      <c r="CN47" s="591" t="n"/>
      <c r="CO47" s="591" t="n"/>
    </row>
    <row r="48" ht="18" customHeight="1" s="562">
      <c r="A48" s="764" t="n"/>
      <c r="B48" s="764" t="n"/>
      <c r="C48" s="591" t="n"/>
      <c r="D48" s="764" t="n"/>
      <c r="E48" s="764" t="n"/>
      <c r="F48" s="764" t="n"/>
      <c r="G48" s="764" t="n"/>
      <c r="H48" s="591" t="n"/>
      <c r="I48" s="591" t="n"/>
      <c r="J48" s="591" t="n"/>
      <c r="K48" s="591" t="n"/>
      <c r="L48" s="591" t="n"/>
      <c r="M48" s="591" t="n"/>
      <c r="N48" s="591" t="n"/>
      <c r="O48" s="591" t="n"/>
      <c r="P48" s="591" t="n"/>
      <c r="Q48" s="591" t="n"/>
      <c r="R48" s="591" t="n"/>
      <c r="S48" s="591" t="n"/>
      <c r="T48" s="591" t="n"/>
      <c r="U48" s="591" t="n"/>
      <c r="V48" s="591" t="n"/>
      <c r="W48" s="591" t="n"/>
      <c r="X48" s="591" t="n"/>
      <c r="Y48" s="591" t="n"/>
      <c r="Z48" s="591" t="n"/>
      <c r="AA48" s="591" t="n"/>
      <c r="AB48" s="591" t="n"/>
      <c r="AC48" s="591" t="n"/>
      <c r="AD48" s="591" t="n"/>
      <c r="AE48" s="591" t="n"/>
      <c r="AF48" s="591" t="n"/>
      <c r="AG48" s="591" t="n"/>
      <c r="AH48" s="591" t="n"/>
      <c r="AI48" s="591" t="n"/>
      <c r="AJ48" s="591" t="n"/>
      <c r="AK48" s="591" t="n"/>
      <c r="AL48" s="591" t="n"/>
      <c r="AM48" s="591" t="n"/>
      <c r="AN48" s="591" t="n"/>
      <c r="AO48" s="591" t="n"/>
      <c r="AP48" s="591" t="n"/>
      <c r="AQ48" s="591" t="n"/>
      <c r="AR48" s="591" t="n"/>
      <c r="AS48" s="591" t="n"/>
      <c r="AT48" s="591" t="n"/>
      <c r="AU48" s="591" t="n"/>
      <c r="AV48" s="591" t="n"/>
      <c r="AW48" s="591" t="n"/>
      <c r="AX48" s="591" t="n"/>
      <c r="AY48" s="591" t="n"/>
      <c r="AZ48" s="591" t="n"/>
      <c r="BA48" s="591" t="n"/>
      <c r="BB48" s="591" t="n"/>
      <c r="BC48" s="591" t="n"/>
      <c r="BD48" s="591" t="n"/>
      <c r="BE48" s="591" t="n"/>
      <c r="BF48" s="591" t="n"/>
      <c r="BG48" s="591" t="n"/>
      <c r="BH48" s="591" t="n"/>
      <c r="BI48" s="591" t="n"/>
      <c r="BJ48" s="591" t="n"/>
      <c r="BK48" s="591" t="n"/>
      <c r="BL48" s="591" t="n"/>
      <c r="BM48" s="591" t="n"/>
      <c r="BN48" s="591" t="n"/>
      <c r="BO48" s="591" t="n"/>
      <c r="BP48" s="591" t="n"/>
      <c r="BQ48" s="591" t="n"/>
      <c r="BR48" s="591" t="n"/>
      <c r="BS48" s="591" t="n"/>
      <c r="BT48" s="591" t="n"/>
      <c r="BU48" s="591" t="n"/>
      <c r="BV48" s="591" t="n"/>
      <c r="BW48" s="591" t="n"/>
      <c r="BX48" s="591" t="n"/>
      <c r="BY48" s="591" t="n"/>
      <c r="BZ48" s="591" t="n"/>
      <c r="CA48" s="591" t="n"/>
      <c r="CB48" s="591" t="n"/>
      <c r="CC48" s="591" t="n"/>
      <c r="CD48" s="591" t="n"/>
      <c r="CE48" s="591" t="n"/>
      <c r="CF48" s="591" t="n"/>
      <c r="CG48" s="591" t="n"/>
      <c r="CH48" s="591" t="n"/>
      <c r="CI48" s="591" t="n"/>
      <c r="CJ48" s="591" t="n"/>
      <c r="CK48" s="591" t="n"/>
      <c r="CL48" s="591" t="n"/>
      <c r="CM48" s="591" t="n"/>
      <c r="CN48" s="591" t="n"/>
      <c r="CO48" s="591" t="n"/>
    </row>
    <row r="49" ht="18" customHeight="1" s="562">
      <c r="A49" s="764" t="n"/>
      <c r="B49" s="764" t="n"/>
      <c r="C49" s="591" t="n"/>
      <c r="D49" s="764" t="n"/>
      <c r="E49" s="764" t="n"/>
      <c r="F49" s="764" t="n"/>
      <c r="G49" s="764" t="n"/>
      <c r="H49" s="591" t="n"/>
      <c r="I49" s="591" t="n"/>
      <c r="J49" s="591" t="n"/>
      <c r="K49" s="591" t="n"/>
      <c r="L49" s="591" t="n"/>
      <c r="M49" s="591" t="n"/>
      <c r="N49" s="591" t="n"/>
      <c r="O49" s="591" t="n"/>
      <c r="P49" s="591" t="n"/>
      <c r="Q49" s="591" t="n"/>
      <c r="R49" s="591" t="n"/>
      <c r="S49" s="591" t="n"/>
      <c r="T49" s="591" t="n"/>
      <c r="U49" s="591" t="n"/>
      <c r="V49" s="591" t="n"/>
      <c r="W49" s="591" t="n"/>
      <c r="X49" s="591" t="n"/>
      <c r="Y49" s="591" t="n"/>
      <c r="Z49" s="591" t="n"/>
      <c r="AA49" s="591" t="n"/>
      <c r="AB49" s="591" t="n"/>
      <c r="AC49" s="591" t="n"/>
      <c r="AD49" s="591" t="n"/>
      <c r="AE49" s="591" t="n"/>
      <c r="AF49" s="591" t="n"/>
      <c r="AG49" s="591" t="n"/>
      <c r="AH49" s="591" t="n"/>
      <c r="AI49" s="591" t="n"/>
      <c r="AJ49" s="591" t="n"/>
      <c r="AK49" s="591" t="n"/>
      <c r="AL49" s="591" t="n"/>
      <c r="AM49" s="591" t="n"/>
      <c r="AN49" s="591" t="n"/>
      <c r="AO49" s="591" t="n"/>
      <c r="AP49" s="591" t="n"/>
      <c r="AQ49" s="591" t="n"/>
      <c r="AR49" s="591" t="n"/>
      <c r="AS49" s="591" t="n"/>
      <c r="AT49" s="591" t="n"/>
      <c r="AU49" s="591" t="n"/>
      <c r="AV49" s="591" t="n"/>
      <c r="AW49" s="591" t="n"/>
      <c r="AX49" s="591" t="n"/>
      <c r="AY49" s="591" t="n"/>
      <c r="AZ49" s="591" t="n"/>
      <c r="BA49" s="591" t="n"/>
      <c r="BB49" s="591" t="n"/>
      <c r="BC49" s="591" t="n"/>
      <c r="BD49" s="591" t="n"/>
      <c r="BE49" s="591" t="n"/>
      <c r="BF49" s="591" t="n"/>
      <c r="BG49" s="591" t="n"/>
      <c r="BH49" s="591" t="n"/>
      <c r="BI49" s="591" t="n"/>
      <c r="BJ49" s="591" t="n"/>
      <c r="BK49" s="591" t="n"/>
      <c r="BL49" s="591" t="n"/>
      <c r="BM49" s="591" t="n"/>
      <c r="BN49" s="591" t="n"/>
      <c r="BO49" s="591" t="n"/>
      <c r="BP49" s="591" t="n"/>
      <c r="BQ49" s="591" t="n"/>
      <c r="BR49" s="591" t="n"/>
      <c r="BS49" s="591" t="n"/>
      <c r="BT49" s="591" t="n"/>
      <c r="BU49" s="591" t="n"/>
      <c r="BV49" s="591" t="n"/>
      <c r="BW49" s="591" t="n"/>
      <c r="BX49" s="591" t="n"/>
      <c r="BY49" s="591" t="n"/>
      <c r="BZ49" s="591" t="n"/>
      <c r="CA49" s="591" t="n"/>
      <c r="CB49" s="591" t="n"/>
      <c r="CC49" s="591" t="n"/>
      <c r="CD49" s="591" t="n"/>
      <c r="CE49" s="591" t="n"/>
      <c r="CF49" s="591" t="n"/>
      <c r="CG49" s="591" t="n"/>
      <c r="CH49" s="591" t="n"/>
      <c r="CI49" s="591" t="n"/>
      <c r="CJ49" s="591" t="n"/>
      <c r="CK49" s="591" t="n"/>
      <c r="CL49" s="591" t="n"/>
      <c r="CM49" s="591" t="n"/>
      <c r="CN49" s="591" t="n"/>
      <c r="CO49" s="591" t="n"/>
    </row>
    <row r="50" ht="18" customHeight="1" s="562">
      <c r="A50" s="764" t="n"/>
      <c r="B50" s="764" t="n"/>
      <c r="C50" s="591" t="n"/>
      <c r="D50" s="764" t="n"/>
      <c r="E50" s="764" t="n"/>
      <c r="F50" s="764" t="n"/>
      <c r="G50" s="764" t="n"/>
      <c r="H50" s="591" t="n"/>
      <c r="I50" s="591" t="n"/>
      <c r="J50" s="591" t="n"/>
      <c r="K50" s="591" t="n"/>
      <c r="L50" s="591" t="n"/>
      <c r="M50" s="591" t="n"/>
      <c r="N50" s="591" t="n"/>
      <c r="O50" s="591" t="n"/>
      <c r="P50" s="591" t="n"/>
      <c r="Q50" s="591" t="n"/>
      <c r="R50" s="591" t="n"/>
      <c r="S50" s="591" t="n"/>
      <c r="T50" s="591" t="n"/>
      <c r="U50" s="591" t="n"/>
      <c r="V50" s="591" t="n"/>
      <c r="W50" s="591" t="n"/>
      <c r="X50" s="591" t="n"/>
      <c r="Y50" s="591" t="n"/>
      <c r="Z50" s="591" t="n"/>
      <c r="AA50" s="591" t="n"/>
      <c r="AB50" s="591" t="n"/>
      <c r="AC50" s="591" t="n"/>
      <c r="AD50" s="591" t="n"/>
      <c r="AE50" s="591" t="n"/>
      <c r="AF50" s="591" t="n"/>
      <c r="AG50" s="591" t="n"/>
      <c r="AH50" s="591" t="n"/>
      <c r="AI50" s="591" t="n"/>
      <c r="AJ50" s="591" t="n"/>
      <c r="AK50" s="591" t="n"/>
      <c r="AL50" s="591" t="n"/>
      <c r="AM50" s="591" t="n"/>
      <c r="AN50" s="591" t="n"/>
      <c r="AO50" s="591" t="n"/>
      <c r="AP50" s="591" t="n"/>
      <c r="AQ50" s="591" t="n"/>
      <c r="AR50" s="591" t="n"/>
      <c r="AS50" s="591" t="n"/>
      <c r="AT50" s="591" t="n"/>
      <c r="AU50" s="591" t="n"/>
      <c r="AV50" s="591" t="n"/>
      <c r="AW50" s="591" t="n"/>
      <c r="AX50" s="591" t="n"/>
      <c r="AY50" s="591" t="n"/>
      <c r="AZ50" s="591" t="n"/>
      <c r="BA50" s="591" t="n"/>
      <c r="BB50" s="591" t="n"/>
      <c r="BC50" s="591" t="n"/>
      <c r="BD50" s="591" t="n"/>
      <c r="BE50" s="591" t="n"/>
      <c r="BF50" s="591" t="n"/>
      <c r="BG50" s="591" t="n"/>
      <c r="BH50" s="591" t="n"/>
      <c r="BI50" s="591" t="n"/>
      <c r="BJ50" s="591" t="n"/>
      <c r="BK50" s="591" t="n"/>
      <c r="BL50" s="591" t="n"/>
      <c r="BM50" s="591" t="n"/>
      <c r="BN50" s="591" t="n"/>
      <c r="BO50" s="591" t="n"/>
      <c r="BP50" s="591" t="n"/>
      <c r="BQ50" s="591" t="n"/>
      <c r="BR50" s="591" t="n"/>
      <c r="BS50" s="591" t="n"/>
      <c r="BT50" s="591" t="n"/>
      <c r="BU50" s="591" t="n"/>
      <c r="BV50" s="591" t="n"/>
      <c r="BW50" s="591" t="n"/>
      <c r="BX50" s="591" t="n"/>
      <c r="BY50" s="591" t="n"/>
      <c r="BZ50" s="591" t="n"/>
      <c r="CA50" s="591" t="n"/>
      <c r="CB50" s="591" t="n"/>
      <c r="CC50" s="591" t="n"/>
      <c r="CD50" s="591" t="n"/>
      <c r="CE50" s="591" t="n"/>
      <c r="CF50" s="591" t="n"/>
      <c r="CG50" s="591" t="n"/>
      <c r="CH50" s="591" t="n"/>
      <c r="CI50" s="591" t="n"/>
      <c r="CJ50" s="591" t="n"/>
      <c r="CK50" s="591" t="n"/>
      <c r="CL50" s="591" t="n"/>
      <c r="CM50" s="591" t="n"/>
      <c r="CN50" s="591" t="n"/>
      <c r="CO50" s="591" t="n"/>
    </row>
    <row r="51" ht="18" customHeight="1" s="562">
      <c r="A51" s="764" t="n"/>
      <c r="B51" s="764" t="n"/>
      <c r="C51" s="591" t="n"/>
      <c r="D51" s="764" t="n"/>
      <c r="E51" s="764" t="n"/>
      <c r="F51" s="764" t="n"/>
      <c r="G51" s="764" t="n"/>
      <c r="H51" s="591" t="n"/>
      <c r="I51" s="591" t="n"/>
      <c r="J51" s="591" t="n"/>
      <c r="K51" s="591" t="n"/>
      <c r="L51" s="591" t="n"/>
      <c r="M51" s="591" t="n"/>
      <c r="N51" s="591" t="n"/>
      <c r="O51" s="591" t="n"/>
      <c r="P51" s="591" t="n"/>
      <c r="Q51" s="591" t="n"/>
      <c r="R51" s="591" t="n"/>
      <c r="S51" s="591" t="n"/>
      <c r="T51" s="591" t="n"/>
      <c r="U51" s="591" t="n"/>
      <c r="V51" s="591" t="n"/>
      <c r="W51" s="591" t="n"/>
      <c r="X51" s="591" t="n"/>
      <c r="Y51" s="591" t="n"/>
      <c r="Z51" s="591" t="n"/>
      <c r="AA51" s="591" t="n"/>
      <c r="AB51" s="591" t="n"/>
      <c r="AC51" s="591" t="n"/>
      <c r="AD51" s="591" t="n"/>
      <c r="AE51" s="591" t="n"/>
      <c r="AF51" s="591" t="n"/>
      <c r="AG51" s="591" t="n"/>
      <c r="AH51" s="591" t="n"/>
      <c r="AI51" s="591" t="n"/>
      <c r="AJ51" s="591" t="n"/>
      <c r="AK51" s="591" t="n"/>
      <c r="AL51" s="591" t="n"/>
      <c r="AM51" s="591" t="n"/>
      <c r="AN51" s="591" t="n"/>
      <c r="AO51" s="591" t="n"/>
      <c r="AP51" s="591" t="n"/>
      <c r="AQ51" s="591" t="n"/>
      <c r="AR51" s="591" t="n"/>
      <c r="AS51" s="591" t="n"/>
      <c r="AT51" s="591" t="n"/>
      <c r="AU51" s="591" t="n"/>
      <c r="AV51" s="591" t="n"/>
      <c r="AW51" s="591" t="n"/>
      <c r="AX51" s="591" t="n"/>
      <c r="AY51" s="591" t="n"/>
      <c r="AZ51" s="591" t="n"/>
      <c r="BA51" s="591" t="n"/>
      <c r="BB51" s="591" t="n"/>
      <c r="BC51" s="591" t="n"/>
      <c r="BD51" s="591" t="n"/>
      <c r="BE51" s="591" t="n"/>
      <c r="BF51" s="591" t="n"/>
      <c r="BG51" s="591" t="n"/>
      <c r="BH51" s="591" t="n"/>
      <c r="BI51" s="591" t="n"/>
      <c r="BJ51" s="591" t="n"/>
      <c r="BK51" s="591" t="n"/>
      <c r="BL51" s="591" t="n"/>
      <c r="BM51" s="591" t="n"/>
      <c r="BN51" s="591" t="n"/>
      <c r="BO51" s="591" t="n"/>
      <c r="BP51" s="591" t="n"/>
      <c r="BQ51" s="591" t="n"/>
      <c r="BR51" s="591" t="n"/>
      <c r="BS51" s="591" t="n"/>
      <c r="BT51" s="591" t="n"/>
      <c r="BU51" s="591" t="n"/>
      <c r="BV51" s="591" t="n"/>
      <c r="BW51" s="591" t="n"/>
      <c r="BX51" s="591" t="n"/>
      <c r="BY51" s="591" t="n"/>
      <c r="BZ51" s="591" t="n"/>
      <c r="CA51" s="591" t="n"/>
      <c r="CB51" s="591" t="n"/>
      <c r="CC51" s="591" t="n"/>
      <c r="CD51" s="591" t="n"/>
      <c r="CE51" s="591" t="n"/>
      <c r="CF51" s="591" t="n"/>
      <c r="CG51" s="591" t="n"/>
      <c r="CH51" s="591" t="n"/>
      <c r="CI51" s="591" t="n"/>
      <c r="CJ51" s="591" t="n"/>
      <c r="CK51" s="591" t="n"/>
      <c r="CL51" s="591" t="n"/>
      <c r="CM51" s="591" t="n"/>
      <c r="CN51" s="591" t="n"/>
      <c r="CO51" s="591" t="n"/>
    </row>
    <row r="52" ht="18" customHeight="1" s="562">
      <c r="A52" s="764" t="n"/>
      <c r="B52" s="764" t="n"/>
      <c r="C52" s="591" t="n"/>
      <c r="D52" s="764" t="n"/>
      <c r="E52" s="764" t="n"/>
      <c r="F52" s="764" t="n"/>
      <c r="G52" s="764" t="n"/>
      <c r="H52" s="591" t="n"/>
      <c r="I52" s="591" t="n"/>
      <c r="J52" s="591" t="n"/>
      <c r="K52" s="591" t="n"/>
      <c r="L52" s="591" t="n"/>
      <c r="M52" s="591" t="n"/>
      <c r="N52" s="591" t="n"/>
      <c r="O52" s="591" t="n"/>
      <c r="P52" s="591" t="n"/>
      <c r="Q52" s="591" t="n"/>
      <c r="R52" s="591" t="n"/>
      <c r="S52" s="591" t="n"/>
      <c r="T52" s="591" t="n"/>
      <c r="U52" s="591" t="n"/>
      <c r="V52" s="591" t="n"/>
      <c r="W52" s="591" t="n"/>
      <c r="X52" s="591" t="n"/>
      <c r="Y52" s="591" t="n"/>
      <c r="Z52" s="591" t="n"/>
      <c r="AA52" s="591" t="n"/>
      <c r="AB52" s="591" t="n"/>
      <c r="AC52" s="591" t="n"/>
      <c r="AD52" s="591" t="n"/>
      <c r="AE52" s="591" t="n"/>
      <c r="AF52" s="591" t="n"/>
      <c r="AG52" s="591" t="n"/>
      <c r="AH52" s="591" t="n"/>
      <c r="AI52" s="591" t="n"/>
      <c r="AJ52" s="591" t="n"/>
      <c r="AK52" s="591" t="n"/>
      <c r="AL52" s="591" t="n"/>
      <c r="AM52" s="591" t="n"/>
      <c r="AN52" s="591" t="n"/>
      <c r="AO52" s="591" t="n"/>
      <c r="AP52" s="591" t="n"/>
      <c r="AQ52" s="591" t="n"/>
      <c r="AR52" s="591" t="n"/>
      <c r="AS52" s="591" t="n"/>
      <c r="AT52" s="591" t="n"/>
      <c r="AU52" s="591" t="n"/>
      <c r="AV52" s="591" t="n"/>
      <c r="AW52" s="591" t="n"/>
      <c r="AX52" s="591" t="n"/>
      <c r="AY52" s="591" t="n"/>
      <c r="AZ52" s="591" t="n"/>
      <c r="BA52" s="591" t="n"/>
      <c r="BB52" s="591" t="n"/>
      <c r="BC52" s="591" t="n"/>
      <c r="BD52" s="591" t="n"/>
      <c r="BE52" s="591" t="n"/>
      <c r="BF52" s="591" t="n"/>
      <c r="BG52" s="591" t="n"/>
      <c r="BH52" s="591" t="n"/>
      <c r="BI52" s="591" t="n"/>
      <c r="BJ52" s="591" t="n"/>
      <c r="BK52" s="591" t="n"/>
      <c r="BL52" s="591" t="n"/>
      <c r="BM52" s="591" t="n"/>
      <c r="BN52" s="591" t="n"/>
      <c r="BO52" s="591" t="n"/>
      <c r="BP52" s="591" t="n"/>
      <c r="BQ52" s="591" t="n"/>
      <c r="BR52" s="591" t="n"/>
      <c r="BS52" s="591" t="n"/>
      <c r="BT52" s="591" t="n"/>
      <c r="BU52" s="591" t="n"/>
      <c r="BV52" s="591" t="n"/>
      <c r="BW52" s="591" t="n"/>
      <c r="BX52" s="591" t="n"/>
      <c r="BY52" s="591" t="n"/>
      <c r="BZ52" s="591" t="n"/>
      <c r="CA52" s="591" t="n"/>
      <c r="CB52" s="591" t="n"/>
      <c r="CC52" s="591" t="n"/>
      <c r="CD52" s="591" t="n"/>
      <c r="CE52" s="591" t="n"/>
      <c r="CF52" s="591" t="n"/>
      <c r="CG52" s="591" t="n"/>
      <c r="CH52" s="591" t="n"/>
      <c r="CI52" s="591" t="n"/>
      <c r="CJ52" s="591" t="n"/>
      <c r="CK52" s="591" t="n"/>
      <c r="CL52" s="591" t="n"/>
      <c r="CM52" s="591" t="n"/>
      <c r="CN52" s="591" t="n"/>
      <c r="CO52" s="591" t="n"/>
    </row>
    <row r="53" ht="18" customHeight="1" s="562">
      <c r="A53" s="764" t="n"/>
      <c r="B53" s="764" t="n"/>
      <c r="C53" s="591" t="n"/>
      <c r="D53" s="764" t="n"/>
      <c r="E53" s="764" t="n"/>
      <c r="F53" s="764" t="n"/>
      <c r="G53" s="764" t="n"/>
      <c r="H53" s="591" t="n"/>
      <c r="I53" s="591" t="n"/>
      <c r="J53" s="591" t="n"/>
      <c r="K53" s="591" t="n"/>
      <c r="L53" s="591" t="n"/>
      <c r="M53" s="591" t="n"/>
      <c r="N53" s="591" t="n"/>
      <c r="O53" s="591" t="n"/>
      <c r="P53" s="591" t="n"/>
      <c r="Q53" s="591" t="n"/>
      <c r="R53" s="591" t="n"/>
      <c r="S53" s="591" t="n"/>
      <c r="T53" s="591" t="n"/>
      <c r="U53" s="591" t="n"/>
      <c r="V53" s="591" t="n"/>
      <c r="W53" s="591" t="n"/>
      <c r="X53" s="591" t="n"/>
      <c r="Y53" s="591" t="n"/>
      <c r="Z53" s="591" t="n"/>
      <c r="AA53" s="591" t="n"/>
      <c r="AB53" s="591" t="n"/>
      <c r="AC53" s="591" t="n"/>
      <c r="AD53" s="591" t="n"/>
      <c r="AE53" s="591" t="n"/>
      <c r="AF53" s="591" t="n"/>
      <c r="AG53" s="591" t="n"/>
      <c r="AH53" s="591" t="n"/>
      <c r="AI53" s="591" t="n"/>
      <c r="AJ53" s="591" t="n"/>
      <c r="AK53" s="591" t="n"/>
      <c r="AL53" s="591" t="n"/>
      <c r="AM53" s="591" t="n"/>
      <c r="AN53" s="591" t="n"/>
      <c r="AO53" s="591" t="n"/>
      <c r="AP53" s="591" t="n"/>
      <c r="AQ53" s="591" t="n"/>
      <c r="AR53" s="591" t="n"/>
      <c r="AS53" s="591" t="n"/>
      <c r="AT53" s="591" t="n"/>
      <c r="AU53" s="591" t="n"/>
      <c r="AV53" s="591" t="n"/>
      <c r="AW53" s="591" t="n"/>
      <c r="AX53" s="591" t="n"/>
      <c r="AY53" s="591" t="n"/>
      <c r="AZ53" s="591" t="n"/>
      <c r="BA53" s="591" t="n"/>
      <c r="BB53" s="591" t="n"/>
      <c r="BC53" s="591" t="n"/>
      <c r="BD53" s="591" t="n"/>
      <c r="BE53" s="591" t="n"/>
      <c r="BF53" s="591" t="n"/>
      <c r="BG53" s="591" t="n"/>
      <c r="BH53" s="591" t="n"/>
      <c r="BI53" s="591" t="n"/>
      <c r="BJ53" s="591" t="n"/>
      <c r="BK53" s="591" t="n"/>
      <c r="BL53" s="591" t="n"/>
      <c r="BM53" s="591" t="n"/>
      <c r="BN53" s="591" t="n"/>
      <c r="BO53" s="591" t="n"/>
      <c r="BP53" s="591" t="n"/>
      <c r="BQ53" s="591" t="n"/>
      <c r="BR53" s="591" t="n"/>
      <c r="BS53" s="591" t="n"/>
      <c r="BT53" s="591" t="n"/>
      <c r="BU53" s="591" t="n"/>
      <c r="BV53" s="591" t="n"/>
      <c r="BW53" s="591" t="n"/>
      <c r="BX53" s="591" t="n"/>
      <c r="BY53" s="591" t="n"/>
      <c r="BZ53" s="591" t="n"/>
      <c r="CA53" s="591" t="n"/>
      <c r="CB53" s="591" t="n"/>
      <c r="CC53" s="591" t="n"/>
      <c r="CD53" s="591" t="n"/>
      <c r="CE53" s="591" t="n"/>
      <c r="CF53" s="591" t="n"/>
      <c r="CG53" s="591" t="n"/>
      <c r="CH53" s="591" t="n"/>
      <c r="CI53" s="591" t="n"/>
      <c r="CJ53" s="591" t="n"/>
      <c r="CK53" s="591" t="n"/>
      <c r="CL53" s="591" t="n"/>
      <c r="CM53" s="591" t="n"/>
      <c r="CN53" s="591" t="n"/>
      <c r="CO53" s="591" t="n"/>
    </row>
    <row r="54" ht="18" customHeight="1" s="562">
      <c r="A54" s="764" t="n"/>
      <c r="B54" s="764" t="n"/>
      <c r="C54" s="591" t="n"/>
      <c r="D54" s="764" t="n"/>
      <c r="E54" s="764" t="n"/>
      <c r="F54" s="764" t="n"/>
      <c r="G54" s="764" t="n"/>
      <c r="H54" s="591" t="n"/>
      <c r="I54" s="591" t="n"/>
      <c r="J54" s="591" t="n"/>
      <c r="K54" s="591" t="n"/>
      <c r="L54" s="591" t="n"/>
      <c r="M54" s="591" t="n"/>
      <c r="N54" s="591" t="n"/>
      <c r="O54" s="591" t="n"/>
      <c r="P54" s="591" t="n"/>
      <c r="Q54" s="591" t="n"/>
      <c r="R54" s="591" t="n"/>
      <c r="S54" s="591" t="n"/>
      <c r="T54" s="591" t="n"/>
      <c r="U54" s="591" t="n"/>
      <c r="V54" s="591" t="n"/>
      <c r="W54" s="591" t="n"/>
      <c r="X54" s="591" t="n"/>
      <c r="Y54" s="591" t="n"/>
      <c r="Z54" s="591" t="n"/>
      <c r="AA54" s="591" t="n"/>
      <c r="AB54" s="591" t="n"/>
      <c r="AC54" s="591" t="n"/>
      <c r="AD54" s="591" t="n"/>
      <c r="AE54" s="591" t="n"/>
      <c r="AF54" s="591" t="n"/>
      <c r="AG54" s="591" t="n"/>
      <c r="AH54" s="591" t="n"/>
      <c r="AI54" s="591" t="n"/>
      <c r="AJ54" s="591" t="n"/>
      <c r="AK54" s="591" t="n"/>
      <c r="AL54" s="591" t="n"/>
      <c r="AM54" s="591" t="n"/>
      <c r="AN54" s="591" t="n"/>
      <c r="AO54" s="591" t="n"/>
      <c r="AP54" s="591" t="n"/>
      <c r="AQ54" s="591" t="n"/>
      <c r="AR54" s="591" t="n"/>
      <c r="AS54" s="591" t="n"/>
      <c r="AT54" s="591" t="n"/>
      <c r="AU54" s="591" t="n"/>
      <c r="AV54" s="591" t="n"/>
      <c r="AW54" s="591" t="n"/>
      <c r="AX54" s="591" t="n"/>
      <c r="AY54" s="591" t="n"/>
      <c r="AZ54" s="591" t="n"/>
      <c r="BA54" s="591" t="n"/>
      <c r="BB54" s="591" t="n"/>
      <c r="BC54" s="591" t="n"/>
      <c r="BD54" s="591" t="n"/>
      <c r="BE54" s="591" t="n"/>
      <c r="BF54" s="591" t="n"/>
      <c r="BG54" s="591" t="n"/>
      <c r="BH54" s="591" t="n"/>
      <c r="BI54" s="591" t="n"/>
      <c r="BJ54" s="591" t="n"/>
      <c r="BK54" s="591" t="n"/>
      <c r="BL54" s="591" t="n"/>
      <c r="BM54" s="591" t="n"/>
      <c r="BN54" s="591" t="n"/>
      <c r="BO54" s="591" t="n"/>
      <c r="BP54" s="591" t="n"/>
      <c r="BQ54" s="591" t="n"/>
      <c r="BR54" s="591" t="n"/>
      <c r="BS54" s="591" t="n"/>
      <c r="BT54" s="591" t="n"/>
      <c r="BU54" s="591" t="n"/>
      <c r="BV54" s="591" t="n"/>
      <c r="BW54" s="591" t="n"/>
      <c r="BX54" s="591" t="n"/>
      <c r="BY54" s="591" t="n"/>
      <c r="BZ54" s="591" t="n"/>
      <c r="CA54" s="591" t="n"/>
      <c r="CB54" s="591" t="n"/>
      <c r="CC54" s="591" t="n"/>
      <c r="CD54" s="591" t="n"/>
      <c r="CE54" s="591" t="n"/>
      <c r="CF54" s="591" t="n"/>
      <c r="CG54" s="591" t="n"/>
      <c r="CH54" s="591" t="n"/>
      <c r="CI54" s="591" t="n"/>
      <c r="CJ54" s="591" t="n"/>
      <c r="CK54" s="591" t="n"/>
      <c r="CL54" s="591" t="n"/>
      <c r="CM54" s="591" t="n"/>
      <c r="CN54" s="591" t="n"/>
      <c r="CO54" s="591" t="n"/>
    </row>
    <row r="55" ht="18" customHeight="1" s="562">
      <c r="A55" s="764" t="n"/>
      <c r="B55" s="764" t="n"/>
      <c r="C55" s="591" t="n"/>
      <c r="D55" s="764" t="n"/>
      <c r="E55" s="764" t="n"/>
      <c r="F55" s="764" t="n"/>
      <c r="G55" s="764" t="n"/>
      <c r="H55" s="591" t="n"/>
      <c r="I55" s="591" t="n"/>
      <c r="J55" s="591" t="n"/>
      <c r="K55" s="591" t="n"/>
      <c r="L55" s="591" t="n"/>
      <c r="M55" s="591" t="n"/>
      <c r="N55" s="591" t="n"/>
      <c r="O55" s="591" t="n"/>
      <c r="P55" s="591" t="n"/>
      <c r="Q55" s="591" t="n"/>
      <c r="R55" s="591" t="n"/>
      <c r="S55" s="591" t="n"/>
      <c r="T55" s="591" t="n"/>
      <c r="U55" s="591" t="n"/>
      <c r="V55" s="591" t="n"/>
      <c r="W55" s="591" t="n"/>
      <c r="X55" s="591" t="n"/>
      <c r="Y55" s="591" t="n"/>
      <c r="Z55" s="591" t="n"/>
      <c r="AA55" s="591" t="n"/>
      <c r="AB55" s="591" t="n"/>
      <c r="AC55" s="591" t="n"/>
      <c r="AD55" s="591" t="n"/>
      <c r="AE55" s="591" t="n"/>
      <c r="AF55" s="591" t="n"/>
      <c r="AG55" s="591" t="n"/>
      <c r="AH55" s="591" t="n"/>
      <c r="AI55" s="591" t="n"/>
      <c r="AJ55" s="591" t="n"/>
      <c r="AK55" s="591" t="n"/>
      <c r="AL55" s="591" t="n"/>
      <c r="AM55" s="591" t="n"/>
      <c r="AN55" s="591" t="n"/>
      <c r="AO55" s="591" t="n"/>
      <c r="AP55" s="591" t="n"/>
      <c r="AQ55" s="591" t="n"/>
      <c r="AR55" s="591" t="n"/>
      <c r="AS55" s="591" t="n"/>
      <c r="AT55" s="591" t="n"/>
      <c r="AU55" s="591" t="n"/>
      <c r="AV55" s="591" t="n"/>
      <c r="AW55" s="591" t="n"/>
      <c r="AX55" s="591" t="n"/>
      <c r="AY55" s="591" t="n"/>
      <c r="AZ55" s="591" t="n"/>
      <c r="BA55" s="591" t="n"/>
      <c r="BB55" s="591" t="n"/>
      <c r="BC55" s="591" t="n"/>
      <c r="BD55" s="591" t="n"/>
      <c r="BE55" s="591" t="n"/>
      <c r="BF55" s="591" t="n"/>
      <c r="BG55" s="591" t="n"/>
      <c r="BH55" s="591" t="n"/>
      <c r="BI55" s="591" t="n"/>
      <c r="BJ55" s="591" t="n"/>
      <c r="BK55" s="591" t="n"/>
      <c r="BL55" s="591" t="n"/>
      <c r="BM55" s="591" t="n"/>
      <c r="BN55" s="591" t="n"/>
      <c r="BO55" s="591" t="n"/>
      <c r="BP55" s="591" t="n"/>
      <c r="BQ55" s="591" t="n"/>
      <c r="BR55" s="591" t="n"/>
      <c r="BS55" s="591" t="n"/>
      <c r="BT55" s="591" t="n"/>
      <c r="BU55" s="591" t="n"/>
      <c r="BV55" s="591" t="n"/>
      <c r="BW55" s="591" t="n"/>
      <c r="BX55" s="591" t="n"/>
      <c r="BY55" s="591" t="n"/>
      <c r="BZ55" s="591" t="n"/>
      <c r="CA55" s="591" t="n"/>
      <c r="CB55" s="591" t="n"/>
      <c r="CC55" s="591" t="n"/>
      <c r="CD55" s="591" t="n"/>
      <c r="CE55" s="591" t="n"/>
      <c r="CF55" s="591" t="n"/>
      <c r="CG55" s="591" t="n"/>
      <c r="CH55" s="591" t="n"/>
      <c r="CI55" s="591" t="n"/>
      <c r="CJ55" s="591" t="n"/>
      <c r="CK55" s="591" t="n"/>
      <c r="CL55" s="591" t="n"/>
      <c r="CM55" s="591" t="n"/>
      <c r="CN55" s="591" t="n"/>
      <c r="CO55" s="591" t="n"/>
    </row>
    <row r="56" ht="18" customHeight="1" s="562">
      <c r="A56" s="764" t="n"/>
      <c r="B56" s="764" t="n"/>
      <c r="C56" s="591" t="n"/>
      <c r="D56" s="764" t="n"/>
      <c r="E56" s="764" t="n"/>
      <c r="F56" s="764" t="n"/>
      <c r="G56" s="764" t="n"/>
      <c r="H56" s="591" t="n"/>
      <c r="I56" s="591" t="n"/>
      <c r="J56" s="591" t="n"/>
      <c r="K56" s="591" t="n"/>
      <c r="L56" s="591" t="n"/>
      <c r="M56" s="591" t="n"/>
      <c r="N56" s="591" t="n"/>
      <c r="O56" s="591" t="n"/>
      <c r="P56" s="591" t="n"/>
      <c r="Q56" s="591" t="n"/>
      <c r="R56" s="591" t="n"/>
      <c r="S56" s="591" t="n"/>
      <c r="T56" s="591" t="n"/>
      <c r="U56" s="591" t="n"/>
      <c r="V56" s="591" t="n"/>
      <c r="W56" s="591" t="n"/>
      <c r="X56" s="591" t="n"/>
      <c r="Y56" s="591" t="n"/>
      <c r="Z56" s="591" t="n"/>
      <c r="AA56" s="591" t="n"/>
      <c r="AB56" s="591" t="n"/>
      <c r="AC56" s="591" t="n"/>
      <c r="AD56" s="591" t="n"/>
      <c r="AE56" s="591" t="n"/>
      <c r="AF56" s="591" t="n"/>
      <c r="AG56" s="591" t="n"/>
      <c r="AH56" s="591" t="n"/>
      <c r="AI56" s="591" t="n"/>
      <c r="AJ56" s="591" t="n"/>
      <c r="AK56" s="591" t="n"/>
      <c r="AL56" s="591" t="n"/>
      <c r="AM56" s="591" t="n"/>
      <c r="AN56" s="591" t="n"/>
      <c r="AO56" s="591" t="n"/>
      <c r="AP56" s="591" t="n"/>
      <c r="AQ56" s="591" t="n"/>
      <c r="AR56" s="591" t="n"/>
      <c r="AS56" s="591" t="n"/>
      <c r="AT56" s="591" t="n"/>
      <c r="AU56" s="591" t="n"/>
      <c r="AV56" s="591" t="n"/>
      <c r="AW56" s="591" t="n"/>
      <c r="AX56" s="591" t="n"/>
      <c r="AY56" s="591" t="n"/>
      <c r="AZ56" s="591" t="n"/>
      <c r="BA56" s="591" t="n"/>
      <c r="BB56" s="591" t="n"/>
      <c r="BC56" s="591" t="n"/>
      <c r="BD56" s="591" t="n"/>
      <c r="BE56" s="591" t="n"/>
      <c r="BF56" s="591" t="n"/>
      <c r="BG56" s="591" t="n"/>
      <c r="BH56" s="591" t="n"/>
      <c r="BI56" s="591" t="n"/>
      <c r="BJ56" s="591" t="n"/>
      <c r="BK56" s="591" t="n"/>
      <c r="BL56" s="591" t="n"/>
      <c r="BM56" s="591" t="n"/>
      <c r="BN56" s="591" t="n"/>
      <c r="BO56" s="591" t="n"/>
      <c r="BP56" s="591" t="n"/>
      <c r="BQ56" s="591" t="n"/>
      <c r="BR56" s="591" t="n"/>
      <c r="BS56" s="591" t="n"/>
      <c r="BT56" s="591" t="n"/>
      <c r="BU56" s="591" t="n"/>
      <c r="BV56" s="591" t="n"/>
      <c r="BW56" s="591" t="n"/>
      <c r="BX56" s="591" t="n"/>
      <c r="BY56" s="591" t="n"/>
      <c r="BZ56" s="591" t="n"/>
      <c r="CA56" s="591" t="n"/>
      <c r="CB56" s="591" t="n"/>
      <c r="CC56" s="591" t="n"/>
      <c r="CD56" s="591" t="n"/>
      <c r="CE56" s="591" t="n"/>
      <c r="CF56" s="591" t="n"/>
      <c r="CG56" s="591" t="n"/>
      <c r="CH56" s="591" t="n"/>
      <c r="CI56" s="591" t="n"/>
      <c r="CJ56" s="591" t="n"/>
      <c r="CK56" s="591" t="n"/>
      <c r="CL56" s="591" t="n"/>
      <c r="CM56" s="591" t="n"/>
      <c r="CN56" s="591" t="n"/>
      <c r="CO56" s="591" t="n"/>
    </row>
    <row r="57" ht="18" customHeight="1" s="562">
      <c r="A57" s="764" t="n"/>
      <c r="B57" s="764" t="n"/>
      <c r="C57" s="591" t="n"/>
      <c r="D57" s="764" t="n"/>
      <c r="E57" s="764" t="n"/>
      <c r="F57" s="764" t="n"/>
      <c r="G57" s="764" t="n"/>
      <c r="H57" s="591" t="n"/>
      <c r="I57" s="591" t="n"/>
      <c r="J57" s="591" t="n"/>
      <c r="K57" s="591" t="n"/>
      <c r="L57" s="591" t="n"/>
      <c r="M57" s="591" t="n"/>
      <c r="N57" s="591" t="n"/>
      <c r="O57" s="591" t="n"/>
      <c r="P57" s="591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591" t="n"/>
      <c r="Z57" s="591" t="n"/>
      <c r="AA57" s="591" t="n"/>
      <c r="AB57" s="591" t="n"/>
      <c r="AC57" s="591" t="n"/>
      <c r="AD57" s="591" t="n"/>
      <c r="AE57" s="591" t="n"/>
      <c r="AF57" s="591" t="n"/>
      <c r="AG57" s="591" t="n"/>
      <c r="AH57" s="591" t="n"/>
      <c r="AI57" s="591" t="n"/>
      <c r="AJ57" s="591" t="n"/>
      <c r="AK57" s="591" t="n"/>
      <c r="AL57" s="591" t="n"/>
      <c r="AM57" s="591" t="n"/>
      <c r="AN57" s="591" t="n"/>
      <c r="AO57" s="591" t="n"/>
      <c r="AP57" s="591" t="n"/>
      <c r="AQ57" s="591" t="n"/>
      <c r="AR57" s="591" t="n"/>
      <c r="AS57" s="591" t="n"/>
      <c r="AT57" s="591" t="n"/>
      <c r="AU57" s="591" t="n"/>
      <c r="AV57" s="591" t="n"/>
      <c r="AW57" s="591" t="n"/>
      <c r="AX57" s="591" t="n"/>
      <c r="AY57" s="591" t="n"/>
      <c r="AZ57" s="591" t="n"/>
      <c r="BA57" s="591" t="n"/>
      <c r="BB57" s="591" t="n"/>
      <c r="BC57" s="591" t="n"/>
      <c r="BD57" s="591" t="n"/>
      <c r="BE57" s="591" t="n"/>
      <c r="BF57" s="591" t="n"/>
      <c r="BG57" s="591" t="n"/>
      <c r="BH57" s="591" t="n"/>
      <c r="BI57" s="591" t="n"/>
      <c r="BJ57" s="591" t="n"/>
      <c r="BK57" s="591" t="n"/>
      <c r="BL57" s="591" t="n"/>
      <c r="BM57" s="591" t="n"/>
      <c r="BN57" s="591" t="n"/>
      <c r="BO57" s="591" t="n"/>
      <c r="BP57" s="591" t="n"/>
      <c r="BQ57" s="591" t="n"/>
      <c r="BR57" s="591" t="n"/>
      <c r="BS57" s="591" t="n"/>
      <c r="BT57" s="591" t="n"/>
      <c r="BU57" s="591" t="n"/>
      <c r="BV57" s="591" t="n"/>
      <c r="BW57" s="591" t="n"/>
      <c r="BX57" s="591" t="n"/>
      <c r="BY57" s="591" t="n"/>
      <c r="BZ57" s="591" t="n"/>
      <c r="CA57" s="591" t="n"/>
      <c r="CB57" s="591" t="n"/>
      <c r="CC57" s="591" t="n"/>
      <c r="CD57" s="591" t="n"/>
      <c r="CE57" s="591" t="n"/>
      <c r="CF57" s="591" t="n"/>
      <c r="CG57" s="591" t="n"/>
      <c r="CH57" s="591" t="n"/>
      <c r="CI57" s="591" t="n"/>
      <c r="CJ57" s="591" t="n"/>
      <c r="CK57" s="591" t="n"/>
      <c r="CL57" s="591" t="n"/>
      <c r="CM57" s="591" t="n"/>
      <c r="CN57" s="591" t="n"/>
      <c r="CO57" s="591" t="n"/>
    </row>
    <row r="58" ht="18" customHeight="1" s="562">
      <c r="A58" s="764" t="n"/>
      <c r="B58" s="764" t="n"/>
      <c r="C58" s="591" t="n"/>
      <c r="D58" s="764" t="n"/>
      <c r="E58" s="764" t="n"/>
      <c r="F58" s="764" t="n"/>
      <c r="G58" s="764" t="n"/>
      <c r="H58" s="591" t="n"/>
      <c r="I58" s="591" t="n"/>
      <c r="J58" s="591" t="n"/>
      <c r="K58" s="591" t="n"/>
      <c r="L58" s="591" t="n"/>
      <c r="M58" s="591" t="n"/>
      <c r="N58" s="591" t="n"/>
      <c r="O58" s="591" t="n"/>
      <c r="P58" s="591" t="n"/>
      <c r="Q58" s="591" t="n"/>
      <c r="R58" s="591" t="n"/>
      <c r="S58" s="591" t="n"/>
      <c r="T58" s="591" t="n"/>
      <c r="U58" s="591" t="n"/>
      <c r="V58" s="591" t="n"/>
      <c r="W58" s="591" t="n"/>
      <c r="X58" s="591" t="n"/>
      <c r="Y58" s="591" t="n"/>
      <c r="Z58" s="591" t="n"/>
      <c r="AA58" s="591" t="n"/>
      <c r="AB58" s="591" t="n"/>
      <c r="AC58" s="591" t="n"/>
      <c r="AD58" s="591" t="n"/>
      <c r="AE58" s="591" t="n"/>
      <c r="AF58" s="591" t="n"/>
      <c r="AG58" s="591" t="n"/>
      <c r="AH58" s="591" t="n"/>
      <c r="AI58" s="591" t="n"/>
      <c r="AJ58" s="591" t="n"/>
      <c r="AK58" s="591" t="n"/>
      <c r="AL58" s="591" t="n"/>
      <c r="AM58" s="591" t="n"/>
      <c r="AN58" s="591" t="n"/>
      <c r="AO58" s="591" t="n"/>
      <c r="AP58" s="591" t="n"/>
      <c r="AQ58" s="591" t="n"/>
      <c r="AR58" s="591" t="n"/>
      <c r="AS58" s="591" t="n"/>
      <c r="AT58" s="591" t="n"/>
      <c r="AU58" s="591" t="n"/>
      <c r="AV58" s="591" t="n"/>
      <c r="AW58" s="591" t="n"/>
      <c r="AX58" s="591" t="n"/>
      <c r="AY58" s="591" t="n"/>
      <c r="AZ58" s="591" t="n"/>
      <c r="BA58" s="591" t="n"/>
      <c r="BB58" s="591" t="n"/>
      <c r="BC58" s="591" t="n"/>
      <c r="BD58" s="591" t="n"/>
      <c r="BE58" s="591" t="n"/>
      <c r="BF58" s="591" t="n"/>
      <c r="BG58" s="591" t="n"/>
      <c r="BH58" s="591" t="n"/>
      <c r="BI58" s="591" t="n"/>
      <c r="BJ58" s="591" t="n"/>
      <c r="BK58" s="591" t="n"/>
      <c r="BL58" s="591" t="n"/>
      <c r="BM58" s="591" t="n"/>
      <c r="BN58" s="591" t="n"/>
      <c r="BO58" s="591" t="n"/>
      <c r="BP58" s="591" t="n"/>
      <c r="BQ58" s="591" t="n"/>
      <c r="BR58" s="591" t="n"/>
      <c r="BS58" s="591" t="n"/>
      <c r="BT58" s="591" t="n"/>
      <c r="BU58" s="591" t="n"/>
      <c r="BV58" s="591" t="n"/>
      <c r="BW58" s="591" t="n"/>
      <c r="BX58" s="591" t="n"/>
      <c r="BY58" s="591" t="n"/>
      <c r="BZ58" s="591" t="n"/>
      <c r="CA58" s="591" t="n"/>
      <c r="CB58" s="591" t="n"/>
      <c r="CC58" s="591" t="n"/>
      <c r="CD58" s="591" t="n"/>
      <c r="CE58" s="591" t="n"/>
      <c r="CF58" s="591" t="n"/>
      <c r="CG58" s="591" t="n"/>
      <c r="CH58" s="591" t="n"/>
      <c r="CI58" s="591" t="n"/>
      <c r="CJ58" s="591" t="n"/>
      <c r="CK58" s="591" t="n"/>
      <c r="CL58" s="591" t="n"/>
      <c r="CM58" s="591" t="n"/>
      <c r="CN58" s="591" t="n"/>
      <c r="CO58" s="591" t="n"/>
    </row>
    <row r="59" ht="18" customHeight="1" s="562">
      <c r="A59" s="764" t="n"/>
      <c r="B59" s="764" t="n"/>
      <c r="C59" s="591" t="n"/>
      <c r="D59" s="764" t="n"/>
      <c r="E59" s="764" t="n"/>
      <c r="F59" s="764" t="n"/>
      <c r="G59" s="764" t="n"/>
      <c r="H59" s="591" t="n"/>
      <c r="I59" s="591" t="n"/>
      <c r="J59" s="591" t="n"/>
      <c r="K59" s="591" t="n"/>
      <c r="L59" s="591" t="n"/>
      <c r="M59" s="591" t="n"/>
      <c r="N59" s="591" t="n"/>
      <c r="O59" s="591" t="n"/>
      <c r="P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591" t="n"/>
      <c r="Z59" s="591" t="n"/>
      <c r="AA59" s="591" t="n"/>
      <c r="AB59" s="591" t="n"/>
      <c r="AC59" s="591" t="n"/>
      <c r="AD59" s="591" t="n"/>
      <c r="AE59" s="591" t="n"/>
      <c r="AF59" s="591" t="n"/>
      <c r="AG59" s="591" t="n"/>
      <c r="AH59" s="591" t="n"/>
      <c r="AI59" s="591" t="n"/>
      <c r="AJ59" s="591" t="n"/>
      <c r="AK59" s="591" t="n"/>
      <c r="AL59" s="591" t="n"/>
      <c r="AM59" s="591" t="n"/>
      <c r="AN59" s="591" t="n"/>
      <c r="AO59" s="591" t="n"/>
      <c r="AP59" s="591" t="n"/>
      <c r="AQ59" s="591" t="n"/>
      <c r="AR59" s="591" t="n"/>
      <c r="AS59" s="591" t="n"/>
      <c r="AT59" s="591" t="n"/>
      <c r="AU59" s="591" t="n"/>
      <c r="AV59" s="591" t="n"/>
      <c r="AW59" s="591" t="n"/>
      <c r="AX59" s="591" t="n"/>
      <c r="AY59" s="591" t="n"/>
      <c r="AZ59" s="591" t="n"/>
      <c r="BA59" s="591" t="n"/>
      <c r="BB59" s="591" t="n"/>
      <c r="BC59" s="591" t="n"/>
      <c r="BD59" s="591" t="n"/>
      <c r="BE59" s="591" t="n"/>
      <c r="BF59" s="591" t="n"/>
      <c r="BG59" s="591" t="n"/>
      <c r="BH59" s="591" t="n"/>
      <c r="BI59" s="591" t="n"/>
      <c r="BJ59" s="591" t="n"/>
      <c r="BK59" s="591" t="n"/>
      <c r="BL59" s="591" t="n"/>
      <c r="BM59" s="591" t="n"/>
      <c r="BN59" s="591" t="n"/>
      <c r="BO59" s="591" t="n"/>
      <c r="BP59" s="591" t="n"/>
      <c r="BQ59" s="591" t="n"/>
      <c r="BR59" s="591" t="n"/>
      <c r="BS59" s="591" t="n"/>
      <c r="BT59" s="591" t="n"/>
      <c r="BU59" s="591" t="n"/>
      <c r="BV59" s="591" t="n"/>
      <c r="BW59" s="591" t="n"/>
      <c r="BX59" s="591" t="n"/>
      <c r="BY59" s="591" t="n"/>
      <c r="BZ59" s="591" t="n"/>
      <c r="CA59" s="591" t="n"/>
      <c r="CB59" s="591" t="n"/>
      <c r="CC59" s="591" t="n"/>
      <c r="CD59" s="591" t="n"/>
      <c r="CE59" s="591" t="n"/>
      <c r="CF59" s="591" t="n"/>
      <c r="CG59" s="591" t="n"/>
      <c r="CH59" s="591" t="n"/>
      <c r="CI59" s="591" t="n"/>
      <c r="CJ59" s="591" t="n"/>
      <c r="CK59" s="591" t="n"/>
      <c r="CL59" s="591" t="n"/>
      <c r="CM59" s="591" t="n"/>
      <c r="CN59" s="591" t="n"/>
      <c r="CO59" s="591" t="n"/>
    </row>
    <row r="60" ht="18" customHeight="1" s="562">
      <c r="A60" s="764" t="n"/>
      <c r="B60" s="764" t="n"/>
      <c r="C60" s="591" t="n"/>
      <c r="D60" s="764" t="n"/>
      <c r="E60" s="764" t="n"/>
      <c r="F60" s="764" t="n"/>
      <c r="G60" s="764" t="n"/>
      <c r="H60" s="591" t="n"/>
      <c r="I60" s="591" t="n"/>
      <c r="J60" s="591" t="n"/>
      <c r="K60" s="591" t="n"/>
      <c r="L60" s="591" t="n"/>
      <c r="M60" s="591" t="n"/>
      <c r="N60" s="591" t="n"/>
      <c r="O60" s="591" t="n"/>
      <c r="P60" s="591" t="n"/>
      <c r="Q60" s="591" t="n"/>
      <c r="R60" s="591" t="n"/>
      <c r="S60" s="591" t="n"/>
      <c r="T60" s="591" t="n"/>
      <c r="U60" s="591" t="n"/>
      <c r="V60" s="591" t="n"/>
      <c r="W60" s="591" t="n"/>
      <c r="X60" s="591" t="n"/>
      <c r="Y60" s="591" t="n"/>
      <c r="Z60" s="591" t="n"/>
      <c r="AA60" s="591" t="n"/>
      <c r="AB60" s="591" t="n"/>
      <c r="AC60" s="591" t="n"/>
      <c r="AD60" s="591" t="n"/>
      <c r="AE60" s="591" t="n"/>
      <c r="AF60" s="591" t="n"/>
      <c r="AG60" s="591" t="n"/>
      <c r="AH60" s="591" t="n"/>
      <c r="AI60" s="591" t="n"/>
      <c r="AJ60" s="591" t="n"/>
      <c r="AK60" s="591" t="n"/>
      <c r="AL60" s="591" t="n"/>
      <c r="AM60" s="591" t="n"/>
      <c r="AN60" s="591" t="n"/>
      <c r="AO60" s="591" t="n"/>
      <c r="AP60" s="591" t="n"/>
      <c r="AQ60" s="591" t="n"/>
      <c r="AR60" s="591" t="n"/>
      <c r="AS60" s="591" t="n"/>
      <c r="AT60" s="591" t="n"/>
      <c r="AU60" s="591" t="n"/>
      <c r="AV60" s="591" t="n"/>
      <c r="AW60" s="591" t="n"/>
      <c r="AX60" s="591" t="n"/>
      <c r="AY60" s="591" t="n"/>
      <c r="AZ60" s="591" t="n"/>
      <c r="BA60" s="591" t="n"/>
      <c r="BB60" s="591" t="n"/>
      <c r="BC60" s="591" t="n"/>
      <c r="BD60" s="591" t="n"/>
      <c r="BE60" s="591" t="n"/>
      <c r="BF60" s="591" t="n"/>
      <c r="BG60" s="591" t="n"/>
      <c r="BH60" s="591" t="n"/>
      <c r="BI60" s="591" t="n"/>
      <c r="BJ60" s="591" t="n"/>
      <c r="BK60" s="591" t="n"/>
      <c r="BL60" s="591" t="n"/>
      <c r="BM60" s="591" t="n"/>
      <c r="BN60" s="591" t="n"/>
      <c r="BO60" s="591" t="n"/>
      <c r="BP60" s="591" t="n"/>
      <c r="BQ60" s="591" t="n"/>
      <c r="BR60" s="591" t="n"/>
      <c r="BS60" s="591" t="n"/>
      <c r="BT60" s="591" t="n"/>
      <c r="BU60" s="591" t="n"/>
      <c r="BV60" s="591" t="n"/>
      <c r="BW60" s="591" t="n"/>
      <c r="BX60" s="591" t="n"/>
      <c r="BY60" s="591" t="n"/>
      <c r="BZ60" s="591" t="n"/>
      <c r="CA60" s="591" t="n"/>
      <c r="CB60" s="591" t="n"/>
      <c r="CC60" s="591" t="n"/>
      <c r="CD60" s="591" t="n"/>
      <c r="CE60" s="591" t="n"/>
      <c r="CF60" s="591" t="n"/>
      <c r="CG60" s="591" t="n"/>
      <c r="CH60" s="591" t="n"/>
      <c r="CI60" s="591" t="n"/>
      <c r="CJ60" s="591" t="n"/>
      <c r="CK60" s="591" t="n"/>
      <c r="CL60" s="591" t="n"/>
      <c r="CM60" s="591" t="n"/>
      <c r="CN60" s="591" t="n"/>
      <c r="CO60" s="591" t="n"/>
    </row>
    <row r="61" ht="18" customHeight="1" s="562">
      <c r="A61" s="764" t="n"/>
      <c r="B61" s="764" t="n"/>
      <c r="C61" s="591" t="n"/>
      <c r="D61" s="764" t="n"/>
      <c r="E61" s="764" t="n"/>
      <c r="F61" s="764" t="n"/>
      <c r="G61" s="764" t="n"/>
      <c r="H61" s="591" t="n"/>
      <c r="I61" s="591" t="n"/>
      <c r="J61" s="591" t="n"/>
      <c r="K61" s="591" t="n"/>
      <c r="L61" s="591" t="n"/>
      <c r="M61" s="591" t="n"/>
      <c r="N61" s="591" t="n"/>
      <c r="O61" s="591" t="n"/>
      <c r="P61" s="591" t="n"/>
      <c r="Q61" s="591" t="n"/>
      <c r="R61" s="591" t="n"/>
      <c r="S61" s="591" t="n"/>
      <c r="T61" s="591" t="n"/>
      <c r="U61" s="591" t="n"/>
      <c r="V61" s="591" t="n"/>
      <c r="W61" s="591" t="n"/>
      <c r="X61" s="591" t="n"/>
      <c r="Y61" s="591" t="n"/>
      <c r="Z61" s="591" t="n"/>
      <c r="AA61" s="591" t="n"/>
      <c r="AB61" s="591" t="n"/>
      <c r="AC61" s="591" t="n"/>
      <c r="AD61" s="591" t="n"/>
      <c r="AE61" s="591" t="n"/>
      <c r="AF61" s="591" t="n"/>
      <c r="AG61" s="591" t="n"/>
      <c r="AH61" s="591" t="n"/>
      <c r="AI61" s="591" t="n"/>
      <c r="AJ61" s="591" t="n"/>
      <c r="AK61" s="591" t="n"/>
      <c r="AL61" s="591" t="n"/>
      <c r="AM61" s="591" t="n"/>
      <c r="AN61" s="591" t="n"/>
      <c r="AO61" s="591" t="n"/>
      <c r="AP61" s="591" t="n"/>
      <c r="AQ61" s="591" t="n"/>
      <c r="AR61" s="591" t="n"/>
      <c r="AS61" s="591" t="n"/>
      <c r="AT61" s="591" t="n"/>
      <c r="AU61" s="591" t="n"/>
      <c r="AV61" s="591" t="n"/>
      <c r="AW61" s="591" t="n"/>
      <c r="AX61" s="591" t="n"/>
      <c r="AY61" s="591" t="n"/>
      <c r="AZ61" s="591" t="n"/>
      <c r="BA61" s="591" t="n"/>
      <c r="BB61" s="591" t="n"/>
      <c r="BC61" s="591" t="n"/>
      <c r="BD61" s="591" t="n"/>
      <c r="BE61" s="591" t="n"/>
      <c r="BF61" s="591" t="n"/>
      <c r="BG61" s="591" t="n"/>
      <c r="BH61" s="591" t="n"/>
      <c r="BI61" s="591" t="n"/>
      <c r="BJ61" s="591" t="n"/>
      <c r="BK61" s="591" t="n"/>
      <c r="BL61" s="591" t="n"/>
      <c r="BM61" s="591" t="n"/>
      <c r="BN61" s="591" t="n"/>
      <c r="BO61" s="591" t="n"/>
      <c r="BP61" s="591" t="n"/>
      <c r="BQ61" s="591" t="n"/>
      <c r="BR61" s="591" t="n"/>
      <c r="BS61" s="591" t="n"/>
      <c r="BT61" s="591" t="n"/>
      <c r="BU61" s="591" t="n"/>
      <c r="BV61" s="591" t="n"/>
      <c r="BW61" s="591" t="n"/>
      <c r="BX61" s="591" t="n"/>
      <c r="BY61" s="591" t="n"/>
      <c r="BZ61" s="591" t="n"/>
      <c r="CA61" s="591" t="n"/>
      <c r="CB61" s="591" t="n"/>
      <c r="CC61" s="591" t="n"/>
      <c r="CD61" s="591" t="n"/>
      <c r="CE61" s="591" t="n"/>
      <c r="CF61" s="591" t="n"/>
      <c r="CG61" s="591" t="n"/>
      <c r="CH61" s="591" t="n"/>
      <c r="CI61" s="591" t="n"/>
      <c r="CJ61" s="591" t="n"/>
      <c r="CK61" s="591" t="n"/>
      <c r="CL61" s="591" t="n"/>
      <c r="CM61" s="591" t="n"/>
      <c r="CN61" s="591" t="n"/>
      <c r="CO61" s="591" t="n"/>
    </row>
    <row r="62" ht="18" customHeight="1" s="562">
      <c r="A62" s="764" t="n"/>
      <c r="B62" s="764" t="n"/>
      <c r="C62" s="591" t="n"/>
      <c r="D62" s="764" t="n"/>
      <c r="E62" s="764" t="n"/>
      <c r="F62" s="764" t="n"/>
      <c r="G62" s="764" t="n"/>
      <c r="H62" s="591" t="n"/>
      <c r="I62" s="591" t="n"/>
      <c r="J62" s="591" t="n"/>
      <c r="K62" s="591" t="n"/>
      <c r="L62" s="591" t="n"/>
      <c r="M62" s="591" t="n"/>
      <c r="N62" s="591" t="n"/>
      <c r="O62" s="591" t="n"/>
      <c r="P62" s="591" t="n"/>
      <c r="Q62" s="591" t="n"/>
      <c r="R62" s="591" t="n"/>
      <c r="S62" s="591" t="n"/>
      <c r="T62" s="591" t="n"/>
      <c r="U62" s="591" t="n"/>
      <c r="V62" s="591" t="n"/>
      <c r="W62" s="591" t="n"/>
      <c r="X62" s="591" t="n"/>
      <c r="Y62" s="591" t="n"/>
      <c r="Z62" s="591" t="n"/>
      <c r="AA62" s="591" t="n"/>
      <c r="AB62" s="591" t="n"/>
      <c r="AC62" s="591" t="n"/>
      <c r="AD62" s="591" t="n"/>
      <c r="AE62" s="591" t="n"/>
      <c r="AF62" s="591" t="n"/>
      <c r="AG62" s="591" t="n"/>
      <c r="AH62" s="591" t="n"/>
      <c r="AI62" s="591" t="n"/>
      <c r="AJ62" s="591" t="n"/>
      <c r="AK62" s="591" t="n"/>
      <c r="AL62" s="591" t="n"/>
      <c r="AM62" s="591" t="n"/>
      <c r="AN62" s="591" t="n"/>
      <c r="AO62" s="591" t="n"/>
      <c r="AP62" s="591" t="n"/>
      <c r="AQ62" s="591" t="n"/>
      <c r="AR62" s="591" t="n"/>
      <c r="AS62" s="591" t="n"/>
      <c r="AT62" s="591" t="n"/>
      <c r="AU62" s="591" t="n"/>
      <c r="AV62" s="591" t="n"/>
      <c r="AW62" s="591" t="n"/>
      <c r="AX62" s="591" t="n"/>
      <c r="AY62" s="591" t="n"/>
      <c r="AZ62" s="591" t="n"/>
      <c r="BA62" s="591" t="n"/>
      <c r="BB62" s="591" t="n"/>
      <c r="BC62" s="591" t="n"/>
      <c r="BD62" s="591" t="n"/>
      <c r="BE62" s="591" t="n"/>
      <c r="BF62" s="591" t="n"/>
      <c r="BG62" s="591" t="n"/>
      <c r="BH62" s="591" t="n"/>
      <c r="BI62" s="591" t="n"/>
      <c r="BJ62" s="591" t="n"/>
      <c r="BK62" s="591" t="n"/>
      <c r="BL62" s="591" t="n"/>
      <c r="BM62" s="591" t="n"/>
      <c r="BN62" s="591" t="n"/>
      <c r="BO62" s="591" t="n"/>
      <c r="BP62" s="591" t="n"/>
      <c r="BQ62" s="591" t="n"/>
      <c r="BR62" s="591" t="n"/>
      <c r="BS62" s="591" t="n"/>
      <c r="BT62" s="591" t="n"/>
      <c r="BU62" s="591" t="n"/>
      <c r="BV62" s="591" t="n"/>
      <c r="BW62" s="591" t="n"/>
      <c r="BX62" s="591" t="n"/>
      <c r="BY62" s="591" t="n"/>
      <c r="BZ62" s="591" t="n"/>
      <c r="CA62" s="591" t="n"/>
      <c r="CB62" s="591" t="n"/>
      <c r="CC62" s="591" t="n"/>
      <c r="CD62" s="591" t="n"/>
      <c r="CE62" s="591" t="n"/>
      <c r="CF62" s="591" t="n"/>
      <c r="CG62" s="591" t="n"/>
      <c r="CH62" s="591" t="n"/>
      <c r="CI62" s="591" t="n"/>
      <c r="CJ62" s="591" t="n"/>
      <c r="CK62" s="591" t="n"/>
      <c r="CL62" s="591" t="n"/>
      <c r="CM62" s="591" t="n"/>
      <c r="CN62" s="591" t="n"/>
      <c r="CO62" s="591" t="n"/>
    </row>
    <row r="63" ht="18" customHeight="1" s="562">
      <c r="A63" s="764" t="n"/>
      <c r="B63" s="764" t="n"/>
      <c r="C63" s="591" t="n"/>
      <c r="D63" s="764" t="n"/>
      <c r="E63" s="764" t="n"/>
      <c r="F63" s="764" t="n"/>
      <c r="G63" s="764" t="n"/>
      <c r="H63" s="591" t="n"/>
      <c r="I63" s="591" t="n"/>
      <c r="J63" s="591" t="n"/>
      <c r="K63" s="591" t="n"/>
      <c r="L63" s="591" t="n"/>
      <c r="M63" s="591" t="n"/>
      <c r="N63" s="591" t="n"/>
      <c r="O63" s="591" t="n"/>
      <c r="P63" s="591" t="n"/>
      <c r="Q63" s="591" t="n"/>
      <c r="R63" s="591" t="n"/>
      <c r="S63" s="591" t="n"/>
      <c r="T63" s="591" t="n"/>
      <c r="U63" s="591" t="n"/>
      <c r="V63" s="591" t="n"/>
      <c r="W63" s="591" t="n"/>
      <c r="X63" s="591" t="n"/>
      <c r="Y63" s="591" t="n"/>
      <c r="Z63" s="591" t="n"/>
      <c r="AA63" s="591" t="n"/>
      <c r="AB63" s="591" t="n"/>
      <c r="AC63" s="591" t="n"/>
      <c r="AD63" s="591" t="n"/>
      <c r="AE63" s="591" t="n"/>
      <c r="AF63" s="591" t="n"/>
      <c r="AG63" s="591" t="n"/>
      <c r="AH63" s="591" t="n"/>
      <c r="AI63" s="591" t="n"/>
      <c r="AJ63" s="591" t="n"/>
      <c r="AK63" s="591" t="n"/>
      <c r="AL63" s="591" t="n"/>
      <c r="AM63" s="591" t="n"/>
      <c r="AN63" s="591" t="n"/>
      <c r="AO63" s="591" t="n"/>
      <c r="AP63" s="591" t="n"/>
      <c r="AQ63" s="591" t="n"/>
      <c r="AR63" s="591" t="n"/>
      <c r="AS63" s="591" t="n"/>
      <c r="AT63" s="591" t="n"/>
      <c r="AU63" s="591" t="n"/>
      <c r="AV63" s="591" t="n"/>
      <c r="AW63" s="591" t="n"/>
      <c r="AX63" s="591" t="n"/>
      <c r="AY63" s="591" t="n"/>
      <c r="AZ63" s="591" t="n"/>
      <c r="BA63" s="591" t="n"/>
      <c r="BB63" s="591" t="n"/>
      <c r="BC63" s="591" t="n"/>
      <c r="BD63" s="591" t="n"/>
      <c r="BE63" s="591" t="n"/>
      <c r="BF63" s="591" t="n"/>
      <c r="BG63" s="591" t="n"/>
      <c r="BH63" s="591" t="n"/>
      <c r="BI63" s="591" t="n"/>
      <c r="BJ63" s="591" t="n"/>
      <c r="BK63" s="591" t="n"/>
      <c r="BL63" s="591" t="n"/>
      <c r="BM63" s="591" t="n"/>
      <c r="BN63" s="591" t="n"/>
      <c r="BO63" s="591" t="n"/>
      <c r="BP63" s="591" t="n"/>
      <c r="BQ63" s="591" t="n"/>
      <c r="BR63" s="591" t="n"/>
      <c r="BS63" s="591" t="n"/>
      <c r="BT63" s="591" t="n"/>
      <c r="BU63" s="591" t="n"/>
      <c r="BV63" s="591" t="n"/>
      <c r="BW63" s="591" t="n"/>
      <c r="BX63" s="591" t="n"/>
      <c r="BY63" s="591" t="n"/>
      <c r="BZ63" s="591" t="n"/>
      <c r="CA63" s="591" t="n"/>
      <c r="CB63" s="591" t="n"/>
      <c r="CC63" s="591" t="n"/>
      <c r="CD63" s="591" t="n"/>
      <c r="CE63" s="591" t="n"/>
      <c r="CF63" s="591" t="n"/>
      <c r="CG63" s="591" t="n"/>
      <c r="CH63" s="591" t="n"/>
      <c r="CI63" s="591" t="n"/>
      <c r="CJ63" s="591" t="n"/>
      <c r="CK63" s="591" t="n"/>
      <c r="CL63" s="591" t="n"/>
      <c r="CM63" s="591" t="n"/>
      <c r="CN63" s="591" t="n"/>
      <c r="CO63" s="591" t="n"/>
    </row>
    <row r="64" ht="18" customHeight="1" s="562">
      <c r="A64" s="764" t="n"/>
      <c r="B64" s="764" t="n"/>
      <c r="C64" s="591" t="n"/>
      <c r="D64" s="764" t="n"/>
      <c r="E64" s="764" t="n"/>
      <c r="F64" s="764" t="n"/>
      <c r="G64" s="764" t="n"/>
      <c r="H64" s="591" t="n"/>
      <c r="I64" s="591" t="n"/>
      <c r="J64" s="591" t="n"/>
      <c r="K64" s="591" t="n"/>
      <c r="L64" s="591" t="n"/>
      <c r="M64" s="591" t="n"/>
      <c r="N64" s="591" t="n"/>
      <c r="O64" s="591" t="n"/>
      <c r="P64" s="591" t="n"/>
      <c r="Q64" s="591" t="n"/>
      <c r="R64" s="591" t="n"/>
      <c r="S64" s="591" t="n"/>
      <c r="T64" s="591" t="n"/>
      <c r="U64" s="591" t="n"/>
      <c r="V64" s="591" t="n"/>
      <c r="W64" s="591" t="n"/>
      <c r="X64" s="591" t="n"/>
      <c r="Y64" s="591" t="n"/>
      <c r="Z64" s="591" t="n"/>
      <c r="AA64" s="591" t="n"/>
      <c r="AB64" s="591" t="n"/>
      <c r="AC64" s="591" t="n"/>
      <c r="AD64" s="591" t="n"/>
      <c r="AE64" s="591" t="n"/>
      <c r="AF64" s="591" t="n"/>
      <c r="AG64" s="591" t="n"/>
      <c r="AH64" s="591" t="n"/>
      <c r="AI64" s="591" t="n"/>
      <c r="AJ64" s="591" t="n"/>
      <c r="AK64" s="591" t="n"/>
      <c r="AL64" s="591" t="n"/>
      <c r="AM64" s="591" t="n"/>
      <c r="AN64" s="591" t="n"/>
      <c r="AO64" s="591" t="n"/>
      <c r="AP64" s="591" t="n"/>
      <c r="AQ64" s="591" t="n"/>
      <c r="AR64" s="591" t="n"/>
      <c r="AS64" s="591" t="n"/>
      <c r="AT64" s="591" t="n"/>
      <c r="AU64" s="591" t="n"/>
      <c r="AV64" s="591" t="n"/>
      <c r="AW64" s="591" t="n"/>
      <c r="AX64" s="591" t="n"/>
      <c r="AY64" s="591" t="n"/>
      <c r="AZ64" s="591" t="n"/>
      <c r="BA64" s="591" t="n"/>
      <c r="BB64" s="591" t="n"/>
      <c r="BC64" s="591" t="n"/>
      <c r="BD64" s="591" t="n"/>
      <c r="BE64" s="591" t="n"/>
      <c r="BF64" s="591" t="n"/>
      <c r="BG64" s="591" t="n"/>
      <c r="BH64" s="591" t="n"/>
      <c r="BI64" s="591" t="n"/>
      <c r="BJ64" s="591" t="n"/>
      <c r="BK64" s="591" t="n"/>
      <c r="BL64" s="591" t="n"/>
      <c r="BM64" s="591" t="n"/>
      <c r="BN64" s="591" t="n"/>
      <c r="BO64" s="591" t="n"/>
      <c r="BP64" s="591" t="n"/>
      <c r="BQ64" s="591" t="n"/>
      <c r="BR64" s="591" t="n"/>
      <c r="BS64" s="591" t="n"/>
      <c r="BT64" s="591" t="n"/>
      <c r="BU64" s="591" t="n"/>
      <c r="BV64" s="591" t="n"/>
      <c r="BW64" s="591" t="n"/>
      <c r="BX64" s="591" t="n"/>
      <c r="BY64" s="591" t="n"/>
      <c r="BZ64" s="591" t="n"/>
      <c r="CA64" s="591" t="n"/>
      <c r="CB64" s="591" t="n"/>
      <c r="CC64" s="591" t="n"/>
      <c r="CD64" s="591" t="n"/>
      <c r="CE64" s="591" t="n"/>
      <c r="CF64" s="591" t="n"/>
      <c r="CG64" s="591" t="n"/>
      <c r="CH64" s="591" t="n"/>
      <c r="CI64" s="591" t="n"/>
      <c r="CJ64" s="591" t="n"/>
      <c r="CK64" s="591" t="n"/>
      <c r="CL64" s="591" t="n"/>
      <c r="CM64" s="591" t="n"/>
      <c r="CN64" s="591" t="n"/>
      <c r="CO64" s="591" t="n"/>
    </row>
    <row r="65" ht="18" customHeight="1" s="562">
      <c r="A65" s="764" t="n"/>
      <c r="B65" s="764" t="n"/>
      <c r="C65" s="591" t="n"/>
      <c r="D65" s="764" t="n"/>
      <c r="E65" s="764" t="n"/>
      <c r="F65" s="764" t="n"/>
      <c r="G65" s="764" t="n"/>
      <c r="H65" s="591" t="n"/>
      <c r="I65" s="591" t="n"/>
      <c r="J65" s="591" t="n"/>
      <c r="K65" s="591" t="n"/>
      <c r="L65" s="591" t="n"/>
      <c r="M65" s="591" t="n"/>
      <c r="N65" s="591" t="n"/>
      <c r="O65" s="591" t="n"/>
      <c r="P65" s="591" t="n"/>
      <c r="Q65" s="591" t="n"/>
      <c r="R65" s="591" t="n"/>
      <c r="S65" s="591" t="n"/>
      <c r="T65" s="591" t="n"/>
      <c r="U65" s="591" t="n"/>
      <c r="V65" s="591" t="n"/>
      <c r="W65" s="591" t="n"/>
      <c r="X65" s="591" t="n"/>
      <c r="Y65" s="591" t="n"/>
      <c r="Z65" s="591" t="n"/>
      <c r="AA65" s="591" t="n"/>
      <c r="AB65" s="591" t="n"/>
      <c r="AC65" s="591" t="n"/>
      <c r="AD65" s="591" t="n"/>
      <c r="AE65" s="591" t="n"/>
      <c r="AF65" s="591" t="n"/>
      <c r="AG65" s="591" t="n"/>
      <c r="AH65" s="591" t="n"/>
      <c r="AI65" s="591" t="n"/>
      <c r="AJ65" s="591" t="n"/>
      <c r="AK65" s="591" t="n"/>
      <c r="AL65" s="591" t="n"/>
      <c r="AM65" s="591" t="n"/>
      <c r="AN65" s="591" t="n"/>
      <c r="AO65" s="591" t="n"/>
      <c r="AP65" s="591" t="n"/>
      <c r="AQ65" s="591" t="n"/>
      <c r="AR65" s="591" t="n"/>
      <c r="AS65" s="591" t="n"/>
      <c r="AT65" s="591" t="n"/>
      <c r="AU65" s="591" t="n"/>
      <c r="AV65" s="591" t="n"/>
      <c r="AW65" s="591" t="n"/>
      <c r="AX65" s="591" t="n"/>
      <c r="AY65" s="591" t="n"/>
      <c r="AZ65" s="591" t="n"/>
      <c r="BA65" s="591" t="n"/>
      <c r="BB65" s="591" t="n"/>
      <c r="BC65" s="591" t="n"/>
      <c r="BD65" s="591" t="n"/>
      <c r="BE65" s="591" t="n"/>
      <c r="BF65" s="591" t="n"/>
      <c r="BG65" s="591" t="n"/>
      <c r="BH65" s="591" t="n"/>
      <c r="BI65" s="591" t="n"/>
      <c r="BJ65" s="591" t="n"/>
      <c r="BK65" s="591" t="n"/>
      <c r="BL65" s="591" t="n"/>
      <c r="BM65" s="591" t="n"/>
      <c r="BN65" s="591" t="n"/>
      <c r="BO65" s="591" t="n"/>
      <c r="BP65" s="591" t="n"/>
      <c r="BQ65" s="591" t="n"/>
      <c r="BR65" s="591" t="n"/>
      <c r="BS65" s="591" t="n"/>
      <c r="BT65" s="591" t="n"/>
      <c r="BU65" s="591" t="n"/>
      <c r="BV65" s="591" t="n"/>
      <c r="BW65" s="591" t="n"/>
      <c r="BX65" s="591" t="n"/>
      <c r="BY65" s="591" t="n"/>
      <c r="BZ65" s="591" t="n"/>
      <c r="CA65" s="591" t="n"/>
      <c r="CB65" s="591" t="n"/>
      <c r="CC65" s="591" t="n"/>
      <c r="CD65" s="591" t="n"/>
      <c r="CE65" s="591" t="n"/>
      <c r="CF65" s="591" t="n"/>
      <c r="CG65" s="591" t="n"/>
      <c r="CH65" s="591" t="n"/>
      <c r="CI65" s="591" t="n"/>
      <c r="CJ65" s="591" t="n"/>
      <c r="CK65" s="591" t="n"/>
      <c r="CL65" s="591" t="n"/>
      <c r="CM65" s="591" t="n"/>
      <c r="CN65" s="591" t="n"/>
      <c r="CO65" s="591" t="n"/>
    </row>
    <row r="66" ht="18" customHeight="1" s="562">
      <c r="A66" s="764" t="n"/>
      <c r="B66" s="764" t="n"/>
      <c r="C66" s="591" t="n"/>
      <c r="D66" s="764" t="n"/>
      <c r="E66" s="764" t="n"/>
      <c r="F66" s="764" t="n"/>
      <c r="G66" s="764" t="n"/>
      <c r="H66" s="591" t="n"/>
      <c r="I66" s="591" t="n"/>
      <c r="J66" s="591" t="n"/>
      <c r="K66" s="591" t="n"/>
      <c r="L66" s="591" t="n"/>
      <c r="M66" s="591" t="n"/>
      <c r="N66" s="591" t="n"/>
      <c r="O66" s="591" t="n"/>
      <c r="P66" s="591" t="n"/>
      <c r="Q66" s="591" t="n"/>
      <c r="R66" s="591" t="n"/>
      <c r="S66" s="591" t="n"/>
      <c r="T66" s="591" t="n"/>
      <c r="U66" s="591" t="n"/>
      <c r="V66" s="591" t="n"/>
      <c r="W66" s="591" t="n"/>
      <c r="X66" s="591" t="n"/>
      <c r="Y66" s="591" t="n"/>
      <c r="Z66" s="591" t="n"/>
      <c r="AA66" s="591" t="n"/>
      <c r="AB66" s="591" t="n"/>
      <c r="AC66" s="591" t="n"/>
      <c r="AD66" s="591" t="n"/>
      <c r="AE66" s="591" t="n"/>
      <c r="AF66" s="591" t="n"/>
      <c r="AG66" s="591" t="n"/>
      <c r="AH66" s="591" t="n"/>
      <c r="AI66" s="591" t="n"/>
      <c r="AJ66" s="591" t="n"/>
      <c r="AK66" s="591" t="n"/>
      <c r="AL66" s="591" t="n"/>
      <c r="AM66" s="591" t="n"/>
      <c r="AN66" s="591" t="n"/>
      <c r="AO66" s="591" t="n"/>
      <c r="AP66" s="591" t="n"/>
      <c r="AQ66" s="591" t="n"/>
      <c r="AR66" s="591" t="n"/>
      <c r="AS66" s="591" t="n"/>
      <c r="AT66" s="591" t="n"/>
      <c r="AU66" s="591" t="n"/>
      <c r="AV66" s="591" t="n"/>
      <c r="AW66" s="591" t="n"/>
      <c r="AX66" s="591" t="n"/>
      <c r="AY66" s="591" t="n"/>
      <c r="AZ66" s="591" t="n"/>
      <c r="BA66" s="591" t="n"/>
      <c r="BB66" s="591" t="n"/>
      <c r="BC66" s="591" t="n"/>
      <c r="BD66" s="591" t="n"/>
      <c r="BE66" s="591" t="n"/>
      <c r="BF66" s="591" t="n"/>
      <c r="BG66" s="591" t="n"/>
      <c r="BH66" s="591" t="n"/>
      <c r="BI66" s="591" t="n"/>
      <c r="BJ66" s="591" t="n"/>
      <c r="BK66" s="591" t="n"/>
      <c r="BL66" s="591" t="n"/>
      <c r="BM66" s="591" t="n"/>
      <c r="BN66" s="591" t="n"/>
      <c r="BO66" s="591" t="n"/>
      <c r="BP66" s="591" t="n"/>
      <c r="BQ66" s="591" t="n"/>
      <c r="BR66" s="591" t="n"/>
      <c r="BS66" s="591" t="n"/>
      <c r="BT66" s="591" t="n"/>
      <c r="BU66" s="591" t="n"/>
      <c r="BV66" s="591" t="n"/>
      <c r="BW66" s="591" t="n"/>
      <c r="BX66" s="591" t="n"/>
      <c r="BY66" s="591" t="n"/>
      <c r="BZ66" s="591" t="n"/>
      <c r="CA66" s="591" t="n"/>
      <c r="CB66" s="591" t="n"/>
      <c r="CC66" s="591" t="n"/>
      <c r="CD66" s="591" t="n"/>
      <c r="CE66" s="591" t="n"/>
      <c r="CF66" s="591" t="n"/>
      <c r="CG66" s="591" t="n"/>
      <c r="CH66" s="591" t="n"/>
      <c r="CI66" s="591" t="n"/>
      <c r="CJ66" s="591" t="n"/>
      <c r="CK66" s="591" t="n"/>
      <c r="CL66" s="591" t="n"/>
      <c r="CM66" s="591" t="n"/>
      <c r="CN66" s="591" t="n"/>
      <c r="CO66" s="591" t="n"/>
    </row>
    <row r="67" ht="18" customHeight="1" s="562">
      <c r="A67" s="764" t="n"/>
      <c r="B67" s="764" t="n"/>
      <c r="C67" s="591" t="n"/>
      <c r="D67" s="764" t="n"/>
      <c r="E67" s="764" t="n"/>
      <c r="F67" s="764" t="n"/>
      <c r="G67" s="764" t="n"/>
      <c r="H67" s="591" t="n"/>
      <c r="I67" s="591" t="n"/>
      <c r="J67" s="591" t="n"/>
      <c r="K67" s="591" t="n"/>
      <c r="L67" s="591" t="n"/>
      <c r="M67" s="591" t="n"/>
      <c r="N67" s="591" t="n"/>
      <c r="O67" s="591" t="n"/>
      <c r="P67" s="591" t="n"/>
      <c r="Q67" s="591" t="n"/>
      <c r="R67" s="591" t="n"/>
      <c r="S67" s="591" t="n"/>
      <c r="T67" s="591" t="n"/>
      <c r="U67" s="591" t="n"/>
      <c r="V67" s="591" t="n"/>
      <c r="W67" s="591" t="n"/>
      <c r="X67" s="591" t="n"/>
      <c r="Y67" s="591" t="n"/>
      <c r="Z67" s="591" t="n"/>
      <c r="AA67" s="591" t="n"/>
      <c r="AB67" s="591" t="n"/>
      <c r="AC67" s="591" t="n"/>
      <c r="AD67" s="591" t="n"/>
      <c r="AE67" s="591" t="n"/>
      <c r="AF67" s="591" t="n"/>
      <c r="AG67" s="591" t="n"/>
      <c r="AH67" s="591" t="n"/>
      <c r="AI67" s="591" t="n"/>
      <c r="AJ67" s="591" t="n"/>
      <c r="AK67" s="591" t="n"/>
      <c r="AL67" s="591" t="n"/>
      <c r="AM67" s="591" t="n"/>
      <c r="AN67" s="591" t="n"/>
      <c r="AO67" s="591" t="n"/>
      <c r="AP67" s="591" t="n"/>
      <c r="AQ67" s="591" t="n"/>
      <c r="AR67" s="591" t="n"/>
      <c r="AS67" s="591" t="n"/>
      <c r="AT67" s="591" t="n"/>
      <c r="AU67" s="591" t="n"/>
      <c r="AV67" s="591" t="n"/>
      <c r="AW67" s="591" t="n"/>
      <c r="AX67" s="591" t="n"/>
      <c r="AY67" s="591" t="n"/>
      <c r="AZ67" s="591" t="n"/>
      <c r="BA67" s="591" t="n"/>
      <c r="BB67" s="591" t="n"/>
      <c r="BC67" s="591" t="n"/>
      <c r="BD67" s="591" t="n"/>
      <c r="BE67" s="591" t="n"/>
      <c r="BF67" s="591" t="n"/>
      <c r="BG67" s="591" t="n"/>
      <c r="BH67" s="591" t="n"/>
      <c r="BI67" s="591" t="n"/>
      <c r="BJ67" s="591" t="n"/>
      <c r="BK67" s="591" t="n"/>
      <c r="BL67" s="591" t="n"/>
      <c r="BM67" s="591" t="n"/>
      <c r="BN67" s="591" t="n"/>
      <c r="BO67" s="591" t="n"/>
      <c r="BP67" s="591" t="n"/>
      <c r="BQ67" s="591" t="n"/>
      <c r="BR67" s="591" t="n"/>
      <c r="BS67" s="591" t="n"/>
      <c r="BT67" s="591" t="n"/>
      <c r="BU67" s="591" t="n"/>
      <c r="BV67" s="591" t="n"/>
      <c r="BW67" s="591" t="n"/>
      <c r="BX67" s="591" t="n"/>
      <c r="BY67" s="591" t="n"/>
      <c r="BZ67" s="591" t="n"/>
      <c r="CA67" s="591" t="n"/>
      <c r="CB67" s="591" t="n"/>
      <c r="CC67" s="591" t="n"/>
      <c r="CD67" s="591" t="n"/>
      <c r="CE67" s="591" t="n"/>
      <c r="CF67" s="591" t="n"/>
      <c r="CG67" s="591" t="n"/>
      <c r="CH67" s="591" t="n"/>
      <c r="CI67" s="591" t="n"/>
      <c r="CJ67" s="591" t="n"/>
      <c r="CK67" s="591" t="n"/>
      <c r="CL67" s="591" t="n"/>
      <c r="CM67" s="591" t="n"/>
      <c r="CN67" s="591" t="n"/>
      <c r="CO67" s="591" t="n"/>
    </row>
    <row r="68" ht="18" customHeight="1" s="562">
      <c r="A68" s="764" t="n"/>
      <c r="B68" s="764" t="n"/>
      <c r="C68" s="591" t="n"/>
      <c r="D68" s="764" t="n"/>
      <c r="E68" s="764" t="n"/>
      <c r="F68" s="764" t="n"/>
      <c r="G68" s="764" t="n"/>
      <c r="H68" s="591" t="n"/>
      <c r="I68" s="591" t="n"/>
      <c r="J68" s="591" t="n"/>
      <c r="K68" s="591" t="n"/>
      <c r="L68" s="591" t="n"/>
      <c r="M68" s="591" t="n"/>
      <c r="N68" s="591" t="n"/>
      <c r="O68" s="591" t="n"/>
      <c r="P68" s="591" t="n"/>
      <c r="Q68" s="591" t="n"/>
      <c r="R68" s="591" t="n"/>
      <c r="S68" s="591" t="n"/>
      <c r="T68" s="591" t="n"/>
      <c r="U68" s="591" t="n"/>
      <c r="V68" s="591" t="n"/>
      <c r="W68" s="591" t="n"/>
      <c r="X68" s="591" t="n"/>
      <c r="Y68" s="591" t="n"/>
      <c r="Z68" s="591" t="n"/>
      <c r="AA68" s="591" t="n"/>
      <c r="AB68" s="591" t="n"/>
      <c r="AC68" s="591" t="n"/>
      <c r="AD68" s="591" t="n"/>
      <c r="AE68" s="591" t="n"/>
      <c r="AF68" s="591" t="n"/>
      <c r="AG68" s="591" t="n"/>
      <c r="AH68" s="591" t="n"/>
      <c r="AI68" s="591" t="n"/>
      <c r="AJ68" s="591" t="n"/>
      <c r="AK68" s="591" t="n"/>
      <c r="AL68" s="591" t="n"/>
      <c r="AM68" s="591" t="n"/>
      <c r="AN68" s="591" t="n"/>
      <c r="AO68" s="591" t="n"/>
      <c r="AP68" s="591" t="n"/>
      <c r="AQ68" s="591" t="n"/>
      <c r="AR68" s="591" t="n"/>
      <c r="AS68" s="591" t="n"/>
      <c r="AT68" s="591" t="n"/>
      <c r="AU68" s="591" t="n"/>
      <c r="AV68" s="591" t="n"/>
      <c r="AW68" s="591" t="n"/>
      <c r="AX68" s="591" t="n"/>
      <c r="AY68" s="591" t="n"/>
      <c r="AZ68" s="591" t="n"/>
      <c r="BA68" s="591" t="n"/>
      <c r="BB68" s="591" t="n"/>
      <c r="BC68" s="591" t="n"/>
      <c r="BD68" s="591" t="n"/>
      <c r="BE68" s="591" t="n"/>
      <c r="BF68" s="591" t="n"/>
      <c r="BG68" s="591" t="n"/>
      <c r="BH68" s="591" t="n"/>
      <c r="BI68" s="591" t="n"/>
      <c r="BJ68" s="591" t="n"/>
      <c r="BK68" s="591" t="n"/>
      <c r="BL68" s="591" t="n"/>
      <c r="BM68" s="591" t="n"/>
      <c r="BN68" s="591" t="n"/>
      <c r="BO68" s="591" t="n"/>
      <c r="BP68" s="591" t="n"/>
      <c r="BQ68" s="591" t="n"/>
      <c r="BR68" s="591" t="n"/>
      <c r="BS68" s="591" t="n"/>
      <c r="BT68" s="591" t="n"/>
      <c r="BU68" s="591" t="n"/>
      <c r="BV68" s="591" t="n"/>
      <c r="BW68" s="591" t="n"/>
      <c r="BX68" s="591" t="n"/>
      <c r="BY68" s="591" t="n"/>
      <c r="BZ68" s="591" t="n"/>
      <c r="CA68" s="591" t="n"/>
      <c r="CB68" s="591" t="n"/>
      <c r="CC68" s="591" t="n"/>
      <c r="CD68" s="591" t="n"/>
      <c r="CE68" s="591" t="n"/>
      <c r="CF68" s="591" t="n"/>
      <c r="CG68" s="591" t="n"/>
      <c r="CH68" s="591" t="n"/>
      <c r="CI68" s="591" t="n"/>
      <c r="CJ68" s="591" t="n"/>
      <c r="CK68" s="591" t="n"/>
      <c r="CL68" s="591" t="n"/>
      <c r="CM68" s="591" t="n"/>
      <c r="CN68" s="591" t="n"/>
      <c r="CO68" s="591" t="n"/>
    </row>
    <row r="69" ht="18" customHeight="1" s="562">
      <c r="A69" s="764" t="n"/>
      <c r="B69" s="764" t="n"/>
      <c r="C69" s="591" t="n"/>
      <c r="D69" s="764" t="n"/>
      <c r="E69" s="764" t="n"/>
      <c r="F69" s="764" t="n"/>
      <c r="G69" s="764" t="n"/>
      <c r="H69" s="591" t="n"/>
      <c r="I69" s="591" t="n"/>
      <c r="J69" s="591" t="n"/>
      <c r="K69" s="591" t="n"/>
      <c r="L69" s="591" t="n"/>
      <c r="M69" s="591" t="n"/>
      <c r="N69" s="591" t="n"/>
      <c r="O69" s="591" t="n"/>
      <c r="P69" s="591" t="n"/>
      <c r="Q69" s="591" t="n"/>
      <c r="R69" s="591" t="n"/>
      <c r="S69" s="591" t="n"/>
      <c r="T69" s="591" t="n"/>
      <c r="U69" s="591" t="n"/>
      <c r="V69" s="591" t="n"/>
      <c r="W69" s="591" t="n"/>
      <c r="X69" s="591" t="n"/>
      <c r="Y69" s="591" t="n"/>
      <c r="Z69" s="591" t="n"/>
      <c r="AA69" s="591" t="n"/>
      <c r="AB69" s="591" t="n"/>
      <c r="AC69" s="591" t="n"/>
      <c r="AD69" s="591" t="n"/>
      <c r="AE69" s="591" t="n"/>
      <c r="AF69" s="591" t="n"/>
      <c r="AG69" s="591" t="n"/>
      <c r="AH69" s="591" t="n"/>
      <c r="AI69" s="591" t="n"/>
      <c r="AJ69" s="591" t="n"/>
      <c r="AK69" s="591" t="n"/>
      <c r="AL69" s="591" t="n"/>
      <c r="AM69" s="591" t="n"/>
      <c r="AN69" s="591" t="n"/>
      <c r="AO69" s="591" t="n"/>
      <c r="AP69" s="591" t="n"/>
      <c r="AQ69" s="591" t="n"/>
      <c r="AR69" s="591" t="n"/>
      <c r="AS69" s="591" t="n"/>
      <c r="AT69" s="591" t="n"/>
      <c r="AU69" s="591" t="n"/>
      <c r="AV69" s="591" t="n"/>
      <c r="AW69" s="591" t="n"/>
      <c r="AX69" s="591" t="n"/>
      <c r="AY69" s="591" t="n"/>
      <c r="AZ69" s="591" t="n"/>
      <c r="BA69" s="591" t="n"/>
      <c r="BB69" s="591" t="n"/>
      <c r="BC69" s="591" t="n"/>
      <c r="BD69" s="591" t="n"/>
      <c r="BE69" s="591" t="n"/>
      <c r="BF69" s="591" t="n"/>
      <c r="BG69" s="591" t="n"/>
      <c r="BH69" s="591" t="n"/>
      <c r="BI69" s="591" t="n"/>
      <c r="BJ69" s="591" t="n"/>
      <c r="BK69" s="591" t="n"/>
      <c r="BL69" s="591" t="n"/>
      <c r="BM69" s="591" t="n"/>
      <c r="BN69" s="591" t="n"/>
      <c r="BO69" s="591" t="n"/>
      <c r="BP69" s="591" t="n"/>
      <c r="BQ69" s="591" t="n"/>
      <c r="BR69" s="591" t="n"/>
      <c r="BS69" s="591" t="n"/>
      <c r="BT69" s="591" t="n"/>
      <c r="BU69" s="591" t="n"/>
      <c r="BV69" s="591" t="n"/>
      <c r="BW69" s="591" t="n"/>
      <c r="BX69" s="591" t="n"/>
      <c r="BY69" s="591" t="n"/>
      <c r="BZ69" s="591" t="n"/>
      <c r="CA69" s="591" t="n"/>
      <c r="CB69" s="591" t="n"/>
      <c r="CC69" s="591" t="n"/>
      <c r="CD69" s="591" t="n"/>
      <c r="CE69" s="591" t="n"/>
      <c r="CF69" s="591" t="n"/>
      <c r="CG69" s="591" t="n"/>
      <c r="CH69" s="591" t="n"/>
      <c r="CI69" s="591" t="n"/>
      <c r="CJ69" s="591" t="n"/>
      <c r="CK69" s="591" t="n"/>
      <c r="CL69" s="591" t="n"/>
      <c r="CM69" s="591" t="n"/>
      <c r="CN69" s="591" t="n"/>
      <c r="CO69" s="591" t="n"/>
    </row>
    <row r="70" ht="18" customHeight="1" s="562">
      <c r="A70" s="764" t="n"/>
      <c r="B70" s="764" t="n"/>
      <c r="C70" s="591" t="n"/>
      <c r="D70" s="764" t="n"/>
      <c r="E70" s="764" t="n"/>
      <c r="F70" s="764" t="n"/>
      <c r="G70" s="764" t="n"/>
      <c r="H70" s="591" t="n"/>
      <c r="I70" s="591" t="n"/>
      <c r="J70" s="591" t="n"/>
      <c r="K70" s="591" t="n"/>
      <c r="L70" s="591" t="n"/>
      <c r="M70" s="591" t="n"/>
      <c r="N70" s="591" t="n"/>
      <c r="O70" s="591" t="n"/>
      <c r="P70" s="591" t="n"/>
      <c r="Q70" s="591" t="n"/>
      <c r="R70" s="591" t="n"/>
      <c r="S70" s="591" t="n"/>
      <c r="T70" s="591" t="n"/>
      <c r="U70" s="591" t="n"/>
      <c r="V70" s="591" t="n"/>
      <c r="W70" s="591" t="n"/>
      <c r="X70" s="591" t="n"/>
      <c r="Y70" s="591" t="n"/>
      <c r="Z70" s="591" t="n"/>
      <c r="AA70" s="591" t="n"/>
      <c r="AB70" s="591" t="n"/>
      <c r="AC70" s="591" t="n"/>
      <c r="AD70" s="591" t="n"/>
      <c r="AE70" s="591" t="n"/>
      <c r="AF70" s="591" t="n"/>
      <c r="AG70" s="591" t="n"/>
      <c r="AH70" s="591" t="n"/>
      <c r="AI70" s="591" t="n"/>
      <c r="AJ70" s="591" t="n"/>
      <c r="AK70" s="591" t="n"/>
      <c r="AL70" s="591" t="n"/>
      <c r="AM70" s="591" t="n"/>
      <c r="AN70" s="591" t="n"/>
      <c r="AO70" s="591" t="n"/>
      <c r="AP70" s="591" t="n"/>
      <c r="AQ70" s="591" t="n"/>
      <c r="AR70" s="591" t="n"/>
      <c r="AS70" s="591" t="n"/>
      <c r="AT70" s="591" t="n"/>
      <c r="AU70" s="591" t="n"/>
      <c r="AV70" s="591" t="n"/>
      <c r="AW70" s="591" t="n"/>
      <c r="AX70" s="591" t="n"/>
      <c r="AY70" s="591" t="n"/>
      <c r="AZ70" s="591" t="n"/>
      <c r="BA70" s="591" t="n"/>
      <c r="BB70" s="591" t="n"/>
      <c r="BC70" s="591" t="n"/>
      <c r="BD70" s="591" t="n"/>
      <c r="BE70" s="591" t="n"/>
      <c r="BF70" s="591" t="n"/>
      <c r="BG70" s="591" t="n"/>
      <c r="BH70" s="591" t="n"/>
      <c r="BI70" s="591" t="n"/>
      <c r="BJ70" s="591" t="n"/>
      <c r="BK70" s="591" t="n"/>
      <c r="BL70" s="591" t="n"/>
      <c r="BM70" s="591" t="n"/>
      <c r="BN70" s="591" t="n"/>
      <c r="BO70" s="591" t="n"/>
      <c r="BP70" s="591" t="n"/>
      <c r="BQ70" s="591" t="n"/>
      <c r="BR70" s="591" t="n"/>
      <c r="BS70" s="591" t="n"/>
      <c r="BT70" s="591" t="n"/>
      <c r="BU70" s="591" t="n"/>
      <c r="BV70" s="591" t="n"/>
      <c r="BW70" s="591" t="n"/>
      <c r="BX70" s="591" t="n"/>
      <c r="BY70" s="591" t="n"/>
      <c r="BZ70" s="591" t="n"/>
      <c r="CA70" s="591" t="n"/>
      <c r="CB70" s="591" t="n"/>
      <c r="CC70" s="591" t="n"/>
      <c r="CD70" s="591" t="n"/>
      <c r="CE70" s="591" t="n"/>
      <c r="CF70" s="591" t="n"/>
      <c r="CG70" s="591" t="n"/>
      <c r="CH70" s="591" t="n"/>
      <c r="CI70" s="591" t="n"/>
      <c r="CJ70" s="591" t="n"/>
      <c r="CK70" s="591" t="n"/>
      <c r="CL70" s="591" t="n"/>
      <c r="CM70" s="591" t="n"/>
      <c r="CN70" s="591" t="n"/>
      <c r="CO70" s="591" t="n"/>
    </row>
    <row r="71" ht="18" customHeight="1" s="562">
      <c r="A71" s="764" t="n"/>
      <c r="B71" s="764" t="n"/>
      <c r="C71" s="591" t="n"/>
      <c r="D71" s="764" t="n"/>
      <c r="E71" s="764" t="n"/>
      <c r="F71" s="764" t="n"/>
      <c r="G71" s="764" t="n"/>
      <c r="H71" s="591" t="n"/>
      <c r="I71" s="591" t="n"/>
      <c r="J71" s="591" t="n"/>
      <c r="K71" s="591" t="n"/>
      <c r="L71" s="591" t="n"/>
      <c r="M71" s="591" t="n"/>
      <c r="N71" s="591" t="n"/>
      <c r="O71" s="591" t="n"/>
      <c r="P71" s="591" t="n"/>
      <c r="Q71" s="591" t="n"/>
      <c r="R71" s="591" t="n"/>
      <c r="S71" s="591" t="n"/>
      <c r="T71" s="591" t="n"/>
      <c r="U71" s="591" t="n"/>
      <c r="V71" s="591" t="n"/>
      <c r="W71" s="591" t="n"/>
      <c r="X71" s="591" t="n"/>
      <c r="Y71" s="591" t="n"/>
      <c r="Z71" s="591" t="n"/>
      <c r="AA71" s="591" t="n"/>
      <c r="AB71" s="591" t="n"/>
      <c r="AC71" s="591" t="n"/>
      <c r="AD71" s="591" t="n"/>
      <c r="AE71" s="591" t="n"/>
      <c r="AF71" s="591" t="n"/>
      <c r="AG71" s="591" t="n"/>
      <c r="AH71" s="591" t="n"/>
      <c r="AI71" s="591" t="n"/>
      <c r="AJ71" s="591" t="n"/>
      <c r="AK71" s="591" t="n"/>
      <c r="AL71" s="591" t="n"/>
      <c r="AM71" s="591" t="n"/>
      <c r="AN71" s="591" t="n"/>
      <c r="AO71" s="591" t="n"/>
      <c r="AP71" s="591" t="n"/>
      <c r="AQ71" s="591" t="n"/>
      <c r="AR71" s="591" t="n"/>
      <c r="AS71" s="591" t="n"/>
      <c r="AT71" s="591" t="n"/>
      <c r="AU71" s="591" t="n"/>
      <c r="AV71" s="591" t="n"/>
      <c r="AW71" s="591" t="n"/>
      <c r="AX71" s="591" t="n"/>
      <c r="AY71" s="591" t="n"/>
      <c r="AZ71" s="591" t="n"/>
      <c r="BA71" s="591" t="n"/>
      <c r="BB71" s="591" t="n"/>
      <c r="BC71" s="591" t="n"/>
      <c r="BD71" s="591" t="n"/>
      <c r="BE71" s="591" t="n"/>
      <c r="BF71" s="591" t="n"/>
      <c r="BG71" s="591" t="n"/>
      <c r="BH71" s="591" t="n"/>
      <c r="BI71" s="591" t="n"/>
      <c r="BJ71" s="591" t="n"/>
      <c r="BK71" s="591" t="n"/>
      <c r="BL71" s="591" t="n"/>
      <c r="BM71" s="591" t="n"/>
      <c r="BN71" s="591" t="n"/>
      <c r="BO71" s="591" t="n"/>
      <c r="BP71" s="591" t="n"/>
      <c r="BQ71" s="591" t="n"/>
      <c r="BR71" s="591" t="n"/>
      <c r="BS71" s="591" t="n"/>
      <c r="BT71" s="591" t="n"/>
      <c r="BU71" s="591" t="n"/>
      <c r="BV71" s="591" t="n"/>
      <c r="BW71" s="591" t="n"/>
      <c r="BX71" s="591" t="n"/>
      <c r="BY71" s="591" t="n"/>
      <c r="BZ71" s="591" t="n"/>
      <c r="CA71" s="591" t="n"/>
      <c r="CB71" s="591" t="n"/>
      <c r="CC71" s="591" t="n"/>
      <c r="CD71" s="591" t="n"/>
      <c r="CE71" s="591" t="n"/>
      <c r="CF71" s="591" t="n"/>
      <c r="CG71" s="591" t="n"/>
      <c r="CH71" s="591" t="n"/>
      <c r="CI71" s="591" t="n"/>
      <c r="CJ71" s="591" t="n"/>
      <c r="CK71" s="591" t="n"/>
      <c r="CL71" s="591" t="n"/>
      <c r="CM71" s="591" t="n"/>
      <c r="CN71" s="591" t="n"/>
      <c r="CO71" s="59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S104"/>
  <sheetViews>
    <sheetView showFormulas="0" showGridLines="1" showRowColHeaders="1" showZeros="1" rightToLeft="0" tabSelected="0" showOutlineSymbols="1" defaultGridColor="1" view="normal" topLeftCell="A93" colorId="64" zoomScale="100" zoomScaleNormal="100" zoomScalePageLayoutView="100" workbookViewId="0">
      <selection pane="topLeft" activeCell="Q77" activeCellId="0" sqref="Q77"/>
    </sheetView>
  </sheetViews>
  <sheetFormatPr baseColWidth="8" defaultColWidth="10.4921875" defaultRowHeight="15.75" customHeight="0" zeroHeight="0" outlineLevelRow="0"/>
  <cols>
    <col width="25.33" customWidth="1" style="561" min="1" max="1"/>
    <col width="18.16" customWidth="1" style="561" min="2" max="2"/>
    <col width="14" customWidth="1" style="561" min="3" max="3"/>
    <col width="22" customWidth="1" style="561" min="6" max="6"/>
    <col width="14" customWidth="1" style="561" min="7" max="7"/>
    <col width="24" customWidth="1" style="561" min="10" max="10"/>
    <col width="14.33" customWidth="1" style="561" min="11" max="11"/>
    <col width="10" customWidth="1" style="561" min="13" max="13"/>
    <col width="23" customWidth="1" style="561" min="14" max="14"/>
    <col width="14" customWidth="1" style="561" min="15" max="15"/>
    <col width="18.16" customWidth="1" style="561" min="18" max="18"/>
    <col width="14" customWidth="1" style="561" min="19" max="19"/>
  </cols>
  <sheetData>
    <row r="1" ht="18.75" customHeight="1" s="562">
      <c r="A1" s="612" t="inlineStr">
        <is>
          <t xml:space="preserve">Johnstons </t>
        </is>
      </c>
      <c r="B1" s="613" t="n"/>
      <c r="C1" s="614" t="n"/>
      <c r="D1" s="591" t="n"/>
      <c r="E1" s="612" t="inlineStr">
        <is>
          <t xml:space="preserve">Van Der Linde </t>
        </is>
      </c>
      <c r="F1" s="613" t="n"/>
      <c r="G1" s="614" t="n"/>
      <c r="H1" s="591" t="n"/>
      <c r="I1" s="615" t="inlineStr">
        <is>
          <t xml:space="preserve">Hennie </t>
        </is>
      </c>
      <c r="J1" s="613" t="n"/>
      <c r="K1" s="614" t="n"/>
      <c r="L1" s="591" t="n"/>
      <c r="M1" s="615" t="inlineStr">
        <is>
          <t>John Bierman</t>
        </is>
      </c>
      <c r="N1" s="613" t="n"/>
      <c r="O1" s="614" t="n"/>
      <c r="P1" s="591" t="n"/>
      <c r="Q1" s="615" t="inlineStr">
        <is>
          <t>Hillery</t>
        </is>
      </c>
      <c r="R1" s="613" t="n"/>
      <c r="S1" s="614" t="n"/>
    </row>
    <row r="2" ht="18.75" customHeight="1" s="562">
      <c r="A2" s="616" t="inlineStr">
        <is>
          <t xml:space="preserve">Income </t>
        </is>
      </c>
      <c r="B2" s="617" t="n"/>
      <c r="C2" s="618" t="n"/>
      <c r="D2" s="591" t="n"/>
      <c r="E2" s="616" t="inlineStr">
        <is>
          <t xml:space="preserve">Income </t>
        </is>
      </c>
      <c r="F2" s="617" t="n"/>
      <c r="G2" s="618" t="n"/>
      <c r="H2" s="591" t="n"/>
      <c r="I2" s="619" t="inlineStr">
        <is>
          <t xml:space="preserve">Income </t>
        </is>
      </c>
      <c r="J2" s="617" t="n"/>
      <c r="K2" s="618" t="n"/>
      <c r="L2" s="591" t="n"/>
      <c r="M2" s="619" t="inlineStr">
        <is>
          <t xml:space="preserve">Income </t>
        </is>
      </c>
      <c r="N2" s="617" t="n"/>
      <c r="O2" s="618" t="n"/>
      <c r="P2" s="591" t="n"/>
      <c r="Q2" s="619" t="inlineStr">
        <is>
          <t xml:space="preserve">Income </t>
        </is>
      </c>
      <c r="R2" s="617" t="n"/>
      <c r="S2" s="618" t="n"/>
    </row>
    <row r="3" ht="18" customHeight="1" s="562">
      <c r="A3" s="620" t="inlineStr">
        <is>
          <t>Date:</t>
        </is>
      </c>
      <c r="B3" s="591" t="n"/>
      <c r="C3" s="621" t="inlineStr">
        <is>
          <t xml:space="preserve">Payment </t>
        </is>
      </c>
      <c r="D3" s="591" t="n"/>
      <c r="E3" s="620" t="inlineStr">
        <is>
          <t>Date:</t>
        </is>
      </c>
      <c r="F3" s="591" t="n"/>
      <c r="G3" s="621" t="inlineStr">
        <is>
          <t xml:space="preserve">Payment </t>
        </is>
      </c>
      <c r="H3" s="591" t="n"/>
      <c r="I3" s="622" t="inlineStr">
        <is>
          <t>Date:</t>
        </is>
      </c>
      <c r="J3" s="623" t="n"/>
      <c r="K3" s="624" t="inlineStr">
        <is>
          <t xml:space="preserve">Payment </t>
        </is>
      </c>
      <c r="L3" s="591" t="n"/>
      <c r="M3" s="622" t="inlineStr">
        <is>
          <t>Date:</t>
        </is>
      </c>
      <c r="N3" s="623" t="n"/>
      <c r="O3" s="624" t="inlineStr">
        <is>
          <t xml:space="preserve">Payment </t>
        </is>
      </c>
      <c r="P3" s="591" t="n"/>
      <c r="Q3" s="622" t="inlineStr">
        <is>
          <t>Date:</t>
        </is>
      </c>
      <c r="R3" s="623" t="n"/>
      <c r="S3" s="624" t="inlineStr">
        <is>
          <t xml:space="preserve">Payment </t>
        </is>
      </c>
    </row>
    <row r="4" ht="18" customHeight="1" s="562">
      <c r="A4" s="625" t="n">
        <v>45992</v>
      </c>
      <c r="B4" s="766" t="inlineStr">
        <is>
          <t xml:space="preserve">invoiced </t>
        </is>
      </c>
      <c r="C4" s="601" t="n">
        <v>24800</v>
      </c>
      <c r="D4" s="591" t="n"/>
      <c r="E4" s="625" t="n">
        <v>45992</v>
      </c>
      <c r="F4" s="766" t="inlineStr">
        <is>
          <t xml:space="preserve">invoiced </t>
        </is>
      </c>
      <c r="G4" s="601" t="n">
        <v>22200</v>
      </c>
      <c r="H4" s="591" t="n"/>
      <c r="I4" s="625" t="n">
        <v>45996</v>
      </c>
      <c r="J4" s="766" t="inlineStr">
        <is>
          <t xml:space="preserve">invoiced </t>
        </is>
      </c>
      <c r="K4" s="627" t="n">
        <v>4650</v>
      </c>
      <c r="L4" s="591" t="n"/>
      <c r="M4" s="625" t="n">
        <v>45992</v>
      </c>
      <c r="N4" s="766" t="inlineStr">
        <is>
          <t xml:space="preserve">invoiced </t>
        </is>
      </c>
      <c r="O4" s="627" t="n">
        <v>18400</v>
      </c>
      <c r="P4" s="591" t="n"/>
      <c r="Q4" s="625" t="n">
        <v>45993</v>
      </c>
      <c r="R4" s="766" t="inlineStr">
        <is>
          <t xml:space="preserve">invoiced </t>
        </is>
      </c>
      <c r="S4" s="627" t="n">
        <v>2850</v>
      </c>
    </row>
    <row r="5" ht="18" customHeight="1" s="562">
      <c r="A5" s="625" t="n"/>
      <c r="B5" s="609" t="n"/>
      <c r="C5" s="601" t="n"/>
      <c r="D5" s="591" t="n"/>
      <c r="E5" s="625" t="n"/>
      <c r="F5" s="609" t="n"/>
      <c r="G5" s="601" t="n"/>
      <c r="H5" s="591" t="n"/>
      <c r="I5" s="625" t="n"/>
      <c r="J5" s="626" t="n"/>
      <c r="K5" s="627" t="n"/>
      <c r="L5" s="591" t="n"/>
      <c r="M5" s="625" t="n"/>
      <c r="N5" s="626" t="n"/>
      <c r="O5" s="627" t="n"/>
      <c r="P5" s="591" t="n"/>
      <c r="Q5" s="625" t="n"/>
      <c r="R5" s="766" t="n"/>
      <c r="S5" s="627" t="n"/>
    </row>
    <row r="6" ht="18" customHeight="1" s="562">
      <c r="A6" s="625" t="n"/>
      <c r="B6" s="609" t="n"/>
      <c r="C6" s="601" t="n"/>
      <c r="D6" s="591" t="n"/>
      <c r="E6" s="625" t="n"/>
      <c r="F6" s="609" t="n"/>
      <c r="G6" s="601" t="n"/>
      <c r="H6" s="591" t="n"/>
      <c r="I6" s="625" t="n"/>
      <c r="J6" s="626" t="n"/>
      <c r="K6" s="627" t="n"/>
      <c r="L6" s="591" t="n"/>
      <c r="M6" s="625" t="n"/>
      <c r="N6" s="626" t="n"/>
      <c r="O6" s="627" t="n"/>
      <c r="P6" s="591" t="n"/>
      <c r="Q6" s="625" t="n"/>
      <c r="R6" s="626" t="n"/>
      <c r="S6" s="627" t="n"/>
    </row>
    <row r="7" ht="18.75" customHeight="1" s="562">
      <c r="A7" s="620" t="n"/>
      <c r="B7" s="591" t="n"/>
      <c r="C7" s="601" t="n"/>
      <c r="D7" s="591" t="n"/>
      <c r="E7" s="620" t="n"/>
      <c r="F7" s="591" t="n"/>
      <c r="G7" s="601" t="n"/>
      <c r="H7" s="591" t="n"/>
      <c r="I7" s="625" t="n"/>
      <c r="J7" s="623" t="n"/>
      <c r="K7" s="627" t="n"/>
      <c r="L7" s="591" t="n"/>
      <c r="M7" s="622" t="n"/>
      <c r="N7" s="623" t="n"/>
      <c r="O7" s="627" t="n"/>
      <c r="P7" s="591" t="n"/>
      <c r="Q7" s="622" t="n"/>
      <c r="R7" s="623" t="n"/>
      <c r="S7" s="639" t="n"/>
    </row>
    <row r="8" ht="18.75" customHeight="1" s="562">
      <c r="A8" s="620" t="n"/>
      <c r="B8" s="591" t="n"/>
      <c r="C8" s="629">
        <f>SUM(C4:C7)</f>
        <v/>
      </c>
      <c r="D8" s="591" t="n"/>
      <c r="E8" s="620" t="n"/>
      <c r="F8" s="591" t="n"/>
      <c r="G8" s="629">
        <f>SUM(G4:G7)</f>
        <v/>
      </c>
      <c r="H8" s="591" t="n"/>
      <c r="I8" s="628" t="n"/>
      <c r="J8" s="623" t="n"/>
      <c r="K8" s="630">
        <f>SUM(K4:K7)</f>
        <v/>
      </c>
      <c r="L8" s="591" t="n"/>
      <c r="M8" s="622" t="n"/>
      <c r="N8" s="623" t="n"/>
      <c r="O8" s="630">
        <f>SUM(O4:O7)</f>
        <v/>
      </c>
      <c r="P8" s="591" t="n"/>
      <c r="Q8" s="622" t="n"/>
      <c r="R8" s="623" t="n"/>
      <c r="S8" s="631">
        <f>SUM(S4:S7)</f>
        <v/>
      </c>
    </row>
    <row r="9" ht="18.75" customHeight="1" s="562">
      <c r="A9" s="632" t="inlineStr">
        <is>
          <t xml:space="preserve">Expenses </t>
        </is>
      </c>
      <c r="B9" s="617" t="n"/>
      <c r="C9" s="618" t="n"/>
      <c r="D9" s="591" t="n"/>
      <c r="E9" s="632" t="inlineStr">
        <is>
          <t xml:space="preserve">Expenses </t>
        </is>
      </c>
      <c r="F9" s="617" t="n"/>
      <c r="G9" s="618" t="n"/>
      <c r="H9" s="591" t="n"/>
      <c r="I9" s="633" t="inlineStr">
        <is>
          <t xml:space="preserve">Expenses </t>
        </is>
      </c>
      <c r="J9" s="617" t="n"/>
      <c r="K9" s="618" t="n"/>
      <c r="L9" s="591" t="n"/>
      <c r="M9" s="633" t="inlineStr">
        <is>
          <t xml:space="preserve">Expenses </t>
        </is>
      </c>
      <c r="N9" s="617" t="n"/>
      <c r="O9" s="618" t="n"/>
      <c r="P9" s="591" t="n"/>
      <c r="Q9" s="633" t="inlineStr">
        <is>
          <t xml:space="preserve">Expenses </t>
        </is>
      </c>
      <c r="R9" s="617" t="n"/>
      <c r="S9" s="618" t="n"/>
    </row>
    <row r="10" ht="18" customHeight="1" s="562">
      <c r="A10" s="620" t="inlineStr">
        <is>
          <t>Date:</t>
        </is>
      </c>
      <c r="B10" s="591" t="inlineStr">
        <is>
          <t xml:space="preserve">Expense Name </t>
        </is>
      </c>
      <c r="C10" s="621" t="inlineStr">
        <is>
          <t xml:space="preserve">Amount </t>
        </is>
      </c>
      <c r="D10" s="591" t="n"/>
      <c r="E10" s="620" t="inlineStr">
        <is>
          <t>Date:</t>
        </is>
      </c>
      <c r="F10" s="591" t="inlineStr">
        <is>
          <t xml:space="preserve">Expense Name </t>
        </is>
      </c>
      <c r="G10" s="621" t="inlineStr">
        <is>
          <t xml:space="preserve">Amount </t>
        </is>
      </c>
      <c r="H10" s="591" t="n"/>
      <c r="I10" s="622" t="inlineStr">
        <is>
          <t>Date:</t>
        </is>
      </c>
      <c r="J10" s="623" t="inlineStr">
        <is>
          <t xml:space="preserve">Expense Name </t>
        </is>
      </c>
      <c r="K10" s="624" t="inlineStr">
        <is>
          <t xml:space="preserve">Amount </t>
        </is>
      </c>
      <c r="L10" s="591" t="n"/>
      <c r="M10" s="622" t="inlineStr">
        <is>
          <t>Date:</t>
        </is>
      </c>
      <c r="N10" s="623" t="inlineStr">
        <is>
          <t xml:space="preserve">Expense Name </t>
        </is>
      </c>
      <c r="O10" s="624" t="inlineStr">
        <is>
          <t xml:space="preserve">Amount </t>
        </is>
      </c>
      <c r="P10" s="591" t="n"/>
      <c r="Q10" s="622" t="inlineStr">
        <is>
          <t>Date:</t>
        </is>
      </c>
      <c r="R10" s="623" t="inlineStr">
        <is>
          <t xml:space="preserve">Expense Name </t>
        </is>
      </c>
      <c r="S10" s="624" t="inlineStr">
        <is>
          <t xml:space="preserve">Amount </t>
        </is>
      </c>
    </row>
    <row r="11" ht="18" customHeight="1" s="562">
      <c r="A11" s="625" t="n">
        <v>45992</v>
      </c>
      <c r="B11" s="591" t="inlineStr">
        <is>
          <t xml:space="preserve">Linda </t>
        </is>
      </c>
      <c r="C11" s="621" t="n">
        <v>9600</v>
      </c>
      <c r="D11" s="591" t="n"/>
      <c r="E11" s="625" t="n">
        <v>45992</v>
      </c>
      <c r="F11" s="591" t="inlineStr">
        <is>
          <t xml:space="preserve">Emily </t>
        </is>
      </c>
      <c r="G11" s="621" t="n">
        <v>9450</v>
      </c>
      <c r="H11" s="591" t="n"/>
      <c r="I11" s="625" t="n">
        <v>45992</v>
      </c>
      <c r="J11" s="591" t="inlineStr">
        <is>
          <t xml:space="preserve">Cynthia </t>
        </is>
      </c>
      <c r="K11" s="621" t="n">
        <v>4200</v>
      </c>
      <c r="L11" s="591" t="n"/>
      <c r="M11" s="625" t="n">
        <v>45992</v>
      </c>
      <c r="N11" s="591" t="inlineStr">
        <is>
          <t>Mzee</t>
        </is>
      </c>
      <c r="O11" s="621" t="n">
        <v>9400</v>
      </c>
      <c r="P11" s="591" t="n"/>
      <c r="Q11" s="625" t="inlineStr">
        <is>
          <t>1 dce</t>
        </is>
      </c>
      <c r="R11" s="591" t="inlineStr">
        <is>
          <t>Tracy</t>
        </is>
      </c>
      <c r="S11" s="621" t="n">
        <v>1800</v>
      </c>
    </row>
    <row r="12" ht="18" customHeight="1" s="562">
      <c r="A12" s="625" t="n">
        <v>45992</v>
      </c>
      <c r="B12" s="591" t="inlineStr">
        <is>
          <t>Ada</t>
        </is>
      </c>
      <c r="C12" s="621" t="n">
        <v>6750</v>
      </c>
      <c r="D12" s="591" t="n"/>
      <c r="E12" s="625" t="n">
        <v>45992</v>
      </c>
      <c r="F12" s="591" t="inlineStr">
        <is>
          <t xml:space="preserve">Emma </t>
        </is>
      </c>
      <c r="G12" s="621" t="n">
        <v>4500</v>
      </c>
      <c r="H12" s="591" t="n"/>
      <c r="I12" s="625" t="n">
        <v>45992</v>
      </c>
      <c r="J12" s="591" t="inlineStr">
        <is>
          <t xml:space="preserve">Uber </t>
        </is>
      </c>
      <c r="K12" s="621" t="n">
        <v>1216</v>
      </c>
      <c r="L12" s="591" t="n"/>
      <c r="M12" s="620" t="n"/>
      <c r="N12" s="591" t="n"/>
      <c r="O12" s="621" t="n"/>
      <c r="P12" s="591" t="n"/>
      <c r="Q12" s="625" t="n"/>
      <c r="R12" s="591" t="n"/>
      <c r="S12" s="621" t="n"/>
    </row>
    <row r="13" ht="18" customHeight="1" s="562">
      <c r="A13" s="620" t="n"/>
      <c r="B13" s="591" t="n"/>
      <c r="C13" s="621" t="n"/>
      <c r="D13" s="591" t="n"/>
      <c r="E13" s="625" t="n">
        <v>45992</v>
      </c>
      <c r="F13" s="591" t="inlineStr">
        <is>
          <t xml:space="preserve">Uber </t>
        </is>
      </c>
      <c r="G13" s="621" t="n">
        <v>1589</v>
      </c>
      <c r="H13" s="591" t="n"/>
      <c r="I13" s="620" t="n"/>
      <c r="J13" s="591" t="n"/>
      <c r="K13" s="621" t="n"/>
      <c r="L13" s="591" t="n"/>
      <c r="M13" s="620" t="n"/>
      <c r="N13" s="591" t="n"/>
      <c r="O13" s="621" t="n"/>
      <c r="P13" s="591" t="n"/>
      <c r="Q13" s="620" t="n"/>
      <c r="R13" s="591" t="n"/>
      <c r="S13" s="621" t="n"/>
    </row>
    <row r="14" ht="18" customHeight="1" s="562">
      <c r="A14" s="620" t="n"/>
      <c r="B14" s="591" t="n"/>
      <c r="C14" s="621" t="n"/>
      <c r="D14" s="591" t="n"/>
      <c r="E14" s="625" t="n"/>
      <c r="F14" s="591" t="n"/>
      <c r="G14" s="621" t="n"/>
      <c r="H14" s="591" t="n"/>
      <c r="I14" s="620" t="n"/>
      <c r="J14" s="591" t="n"/>
      <c r="K14" s="621" t="n"/>
      <c r="L14" s="591" t="n"/>
      <c r="M14" s="620" t="n"/>
      <c r="N14" s="591" t="n"/>
      <c r="O14" s="621" t="n"/>
      <c r="P14" s="591" t="n"/>
      <c r="Q14" s="620" t="n"/>
      <c r="R14" s="591" t="n"/>
      <c r="S14" s="621" t="n"/>
    </row>
    <row r="15" ht="18" customHeight="1" s="562">
      <c r="A15" s="620" t="n"/>
      <c r="B15" s="591" t="n"/>
      <c r="C15" s="621" t="n"/>
      <c r="D15" s="591" t="n"/>
      <c r="E15" s="620" t="n"/>
      <c r="F15" s="591" t="n"/>
      <c r="G15" s="621" t="n"/>
      <c r="H15" s="591" t="n"/>
      <c r="I15" s="620" t="n"/>
      <c r="J15" s="591" t="n"/>
      <c r="K15" s="621" t="n"/>
      <c r="L15" s="591" t="n"/>
      <c r="M15" s="620" t="n"/>
      <c r="N15" s="591" t="n"/>
      <c r="O15" s="621" t="n"/>
      <c r="P15" s="591" t="n"/>
      <c r="Q15" s="620" t="n"/>
      <c r="R15" s="591" t="n"/>
      <c r="S15" s="621" t="n"/>
    </row>
    <row r="16" ht="18" customHeight="1" s="562">
      <c r="A16" s="620" t="n"/>
      <c r="B16" s="591" t="n"/>
      <c r="C16" s="621" t="n"/>
      <c r="D16" s="591" t="n"/>
      <c r="E16" s="620" t="n"/>
      <c r="F16" s="591" t="n"/>
      <c r="G16" s="621" t="n"/>
      <c r="H16" s="591" t="n"/>
      <c r="I16" s="620" t="n"/>
      <c r="J16" s="591" t="n"/>
      <c r="K16" s="621" t="n"/>
      <c r="L16" s="591" t="n"/>
      <c r="M16" s="620" t="n"/>
      <c r="N16" s="591" t="n"/>
      <c r="O16" s="621" t="n"/>
      <c r="P16" s="591" t="n"/>
      <c r="Q16" s="620" t="n"/>
      <c r="R16" s="591" t="n"/>
      <c r="S16" s="621" t="n"/>
    </row>
    <row r="17" ht="18" customHeight="1" s="562">
      <c r="A17" s="620" t="n"/>
      <c r="B17" s="591" t="n"/>
      <c r="C17" s="621" t="n"/>
      <c r="D17" s="591" t="n"/>
      <c r="E17" s="620" t="n"/>
      <c r="F17" s="591" t="n"/>
      <c r="G17" s="621" t="n"/>
      <c r="H17" s="591" t="n"/>
      <c r="I17" s="620" t="n"/>
      <c r="J17" s="591" t="n"/>
      <c r="K17" s="621" t="n"/>
      <c r="L17" s="591" t="n"/>
      <c r="M17" s="620" t="n"/>
      <c r="N17" s="591" t="n"/>
      <c r="O17" s="621" t="n"/>
      <c r="P17" s="591" t="n"/>
      <c r="Q17" s="620" t="n"/>
      <c r="R17" s="591" t="n"/>
      <c r="S17" s="621" t="n"/>
    </row>
    <row r="18" ht="18" customHeight="1" s="562">
      <c r="A18" s="620" t="n"/>
      <c r="B18" s="591" t="n"/>
      <c r="C18" s="621" t="n"/>
      <c r="D18" s="591" t="n"/>
      <c r="E18" s="620" t="n"/>
      <c r="F18" s="591" t="n"/>
      <c r="G18" s="621" t="n"/>
      <c r="H18" s="591" t="n"/>
      <c r="I18" s="620" t="n"/>
      <c r="J18" s="591" t="n"/>
      <c r="K18" s="621" t="n"/>
      <c r="L18" s="591" t="n"/>
      <c r="M18" s="620" t="n"/>
      <c r="N18" s="591" t="n"/>
      <c r="O18" s="621" t="n"/>
      <c r="P18" s="591" t="n"/>
      <c r="Q18" s="620" t="n"/>
      <c r="R18" s="591" t="n"/>
      <c r="S18" s="621" t="n"/>
    </row>
    <row r="19" ht="18" customHeight="1" s="562">
      <c r="A19" s="620" t="n"/>
      <c r="B19" s="591" t="n"/>
      <c r="C19" s="621" t="n"/>
      <c r="D19" s="591" t="n"/>
      <c r="E19" s="620" t="n"/>
      <c r="F19" s="591" t="n"/>
      <c r="G19" s="621" t="n"/>
      <c r="H19" s="591" t="n"/>
      <c r="I19" s="620" t="n"/>
      <c r="J19" s="591" t="n"/>
      <c r="K19" s="621" t="n"/>
      <c r="L19" s="591" t="n"/>
      <c r="M19" s="620" t="n"/>
      <c r="N19" s="591" t="n"/>
      <c r="O19" s="621" t="n"/>
      <c r="P19" s="591" t="n"/>
      <c r="Q19" s="620" t="n"/>
      <c r="R19" s="591" t="n"/>
      <c r="S19" s="621" t="n"/>
    </row>
    <row r="20" ht="18" customHeight="1" s="562">
      <c r="A20" s="620" t="n"/>
      <c r="B20" s="591" t="n"/>
      <c r="C20" s="621" t="n"/>
      <c r="D20" s="591" t="n"/>
      <c r="E20" s="620" t="n"/>
      <c r="F20" s="591" t="n"/>
      <c r="G20" s="621" t="n"/>
      <c r="H20" s="591" t="n"/>
      <c r="I20" s="620" t="n"/>
      <c r="J20" s="591" t="n"/>
      <c r="K20" s="621" t="n"/>
      <c r="L20" s="591" t="n"/>
      <c r="M20" s="620" t="n"/>
      <c r="N20" s="591" t="n"/>
      <c r="O20" s="621" t="n"/>
      <c r="P20" s="591" t="n"/>
      <c r="Q20" s="620" t="n"/>
      <c r="R20" s="591" t="n"/>
      <c r="S20" s="621" t="n"/>
    </row>
    <row r="21" ht="18" customHeight="1" s="562">
      <c r="A21" s="620" t="n"/>
      <c r="B21" s="591" t="n"/>
      <c r="C21" s="621" t="n"/>
      <c r="D21" s="591" t="n"/>
      <c r="E21" s="620" t="n"/>
      <c r="F21" s="591" t="n"/>
      <c r="G21" s="621" t="n"/>
      <c r="H21" s="591" t="n"/>
      <c r="I21" s="620" t="n"/>
      <c r="J21" s="591" t="n"/>
      <c r="K21" s="621" t="n"/>
      <c r="L21" s="591" t="n"/>
      <c r="M21" s="620" t="n"/>
      <c r="N21" s="591" t="n"/>
      <c r="O21" s="621" t="n"/>
      <c r="P21" s="591" t="n"/>
      <c r="Q21" s="620" t="n"/>
      <c r="R21" s="591" t="n"/>
      <c r="S21" s="621" t="n"/>
    </row>
    <row r="22" ht="18.75" customHeight="1" s="562">
      <c r="A22" s="620" t="n"/>
      <c r="B22" s="591" t="n"/>
      <c r="C22" s="621" t="n"/>
      <c r="D22" s="591" t="n"/>
      <c r="E22" s="620" t="n"/>
      <c r="F22" s="591" t="n"/>
      <c r="G22" s="621" t="n"/>
      <c r="H22" s="591" t="n"/>
      <c r="I22" s="620" t="n"/>
      <c r="J22" s="591" t="n"/>
      <c r="K22" s="621" t="n"/>
      <c r="L22" s="591" t="n"/>
      <c r="M22" s="620" t="n"/>
      <c r="N22" s="591" t="n"/>
      <c r="O22" s="621" t="n"/>
      <c r="P22" s="591" t="n"/>
      <c r="Q22" s="620" t="n"/>
      <c r="R22" s="591" t="n"/>
      <c r="S22" s="621" t="n"/>
    </row>
    <row r="23" ht="18.75" customHeight="1" s="562">
      <c r="A23" s="634" t="inlineStr">
        <is>
          <t xml:space="preserve">Total Expense </t>
        </is>
      </c>
      <c r="B23" s="617" t="n"/>
      <c r="C23" s="635">
        <f>SUM(C11:C22)</f>
        <v/>
      </c>
      <c r="D23" s="591" t="n"/>
      <c r="E23" s="634" t="inlineStr">
        <is>
          <t xml:space="preserve">Total Expense </t>
        </is>
      </c>
      <c r="F23" s="617" t="n"/>
      <c r="G23" s="635">
        <f>SUM(G11:G22)</f>
        <v/>
      </c>
      <c r="H23" s="591" t="n"/>
      <c r="I23" s="634" t="inlineStr">
        <is>
          <t xml:space="preserve">Total Expense </t>
        </is>
      </c>
      <c r="J23" s="617" t="n"/>
      <c r="K23" s="635">
        <f>SUM(K11:K22)</f>
        <v/>
      </c>
      <c r="L23" s="591" t="n"/>
      <c r="M23" s="634" t="inlineStr">
        <is>
          <t xml:space="preserve">Total Expense </t>
        </is>
      </c>
      <c r="N23" s="617" t="n"/>
      <c r="O23" s="635">
        <f>SUM(O11:O22)</f>
        <v/>
      </c>
      <c r="P23" s="591" t="n"/>
      <c r="Q23" s="634" t="inlineStr">
        <is>
          <t xml:space="preserve">Total Expense </t>
        </is>
      </c>
      <c r="R23" s="617" t="n"/>
      <c r="S23" s="635">
        <f>SUM(S11:S22)</f>
        <v/>
      </c>
    </row>
    <row r="24" ht="18.75" customHeight="1" s="562">
      <c r="A24" s="636" t="inlineStr">
        <is>
          <t xml:space="preserve">Income - Expense </t>
        </is>
      </c>
      <c r="B24" s="637" t="n"/>
      <c r="C24" s="638">
        <f>MIN(C4-C23)</f>
        <v/>
      </c>
      <c r="D24" s="591" t="n"/>
      <c r="E24" s="636" t="inlineStr">
        <is>
          <t xml:space="preserve">Income - Expense </t>
        </is>
      </c>
      <c r="F24" s="637" t="n"/>
      <c r="G24" s="638">
        <f>MIN(G4-G23)</f>
        <v/>
      </c>
      <c r="H24" s="591" t="n"/>
      <c r="I24" s="636" t="inlineStr">
        <is>
          <t xml:space="preserve">Income - Expense </t>
        </is>
      </c>
      <c r="J24" s="637" t="n"/>
      <c r="K24" s="638">
        <f>MIN(K4-K23)</f>
        <v/>
      </c>
      <c r="L24" s="591" t="n"/>
      <c r="M24" s="636" t="inlineStr">
        <is>
          <t xml:space="preserve">Income - Expense </t>
        </is>
      </c>
      <c r="N24" s="637" t="n"/>
      <c r="O24" s="638">
        <f>MIN(O4-O23)</f>
        <v/>
      </c>
      <c r="P24" s="591" t="n"/>
      <c r="Q24" s="636" t="inlineStr">
        <is>
          <t xml:space="preserve">Income - Expense </t>
        </is>
      </c>
      <c r="R24" s="637" t="n"/>
      <c r="S24" s="638">
        <f>MIN(S4-S23)</f>
        <v/>
      </c>
    </row>
    <row r="26" ht="18.75" customHeight="1" s="562">
      <c r="A26" s="615" t="inlineStr">
        <is>
          <t>Julian Sam</t>
        </is>
      </c>
      <c r="B26" s="613" t="n"/>
      <c r="C26" s="614" t="n"/>
      <c r="E26" s="612" t="inlineStr">
        <is>
          <t>Trevor Botes</t>
        </is>
      </c>
      <c r="F26" s="613" t="n"/>
      <c r="G26" s="614" t="n"/>
      <c r="I26" s="615" t="inlineStr">
        <is>
          <t>Johann Roos</t>
        </is>
      </c>
      <c r="J26" s="613" t="n"/>
      <c r="K26" s="614" t="n"/>
      <c r="M26" s="615" t="inlineStr">
        <is>
          <t>Dirk Le Roux</t>
        </is>
      </c>
      <c r="N26" s="613" t="n"/>
      <c r="O26" s="614" t="n"/>
      <c r="Q26" s="615" t="inlineStr">
        <is>
          <t>Androilla/ Praxia</t>
        </is>
      </c>
      <c r="R26" s="613" t="n"/>
      <c r="S26" s="614" t="n"/>
    </row>
    <row r="27" ht="18.75" customHeight="1" s="562">
      <c r="A27" s="619" t="inlineStr">
        <is>
          <t xml:space="preserve">Income </t>
        </is>
      </c>
      <c r="B27" s="617" t="n"/>
      <c r="C27" s="618" t="n"/>
      <c r="E27" s="616" t="inlineStr">
        <is>
          <t xml:space="preserve">Income </t>
        </is>
      </c>
      <c r="F27" s="617" t="n"/>
      <c r="G27" s="618" t="n"/>
      <c r="I27" s="619" t="inlineStr">
        <is>
          <t xml:space="preserve">Income </t>
        </is>
      </c>
      <c r="J27" s="617" t="n"/>
      <c r="K27" s="618" t="n"/>
      <c r="M27" s="619" t="inlineStr">
        <is>
          <t xml:space="preserve">Income </t>
        </is>
      </c>
      <c r="N27" s="617" t="n"/>
      <c r="O27" s="618" t="n"/>
      <c r="Q27" s="619" t="inlineStr">
        <is>
          <t xml:space="preserve">Income </t>
        </is>
      </c>
      <c r="R27" s="617" t="n"/>
      <c r="S27" s="618" t="n"/>
    </row>
    <row r="28" ht="18" customHeight="1" s="562">
      <c r="A28" s="622" t="inlineStr">
        <is>
          <t>Date:</t>
        </is>
      </c>
      <c r="B28" s="623" t="n"/>
      <c r="C28" s="624" t="inlineStr">
        <is>
          <t xml:space="preserve">Payment </t>
        </is>
      </c>
      <c r="E28" s="620" t="inlineStr">
        <is>
          <t>Date:</t>
        </is>
      </c>
      <c r="F28" s="591" t="n"/>
      <c r="G28" s="621" t="inlineStr">
        <is>
          <t xml:space="preserve">Payment </t>
        </is>
      </c>
      <c r="I28" s="622" t="inlineStr">
        <is>
          <t>Date:</t>
        </is>
      </c>
      <c r="J28" s="623" t="n"/>
      <c r="K28" s="624" t="inlineStr">
        <is>
          <t xml:space="preserve">Payment </t>
        </is>
      </c>
      <c r="M28" s="622" t="inlineStr">
        <is>
          <t>Date:</t>
        </is>
      </c>
      <c r="N28" s="623" t="n"/>
      <c r="O28" s="624" t="inlineStr">
        <is>
          <t xml:space="preserve">Payment </t>
        </is>
      </c>
      <c r="Q28" s="622" t="inlineStr">
        <is>
          <t>Date:</t>
        </is>
      </c>
      <c r="R28" s="623" t="n"/>
      <c r="S28" s="624" t="inlineStr">
        <is>
          <t xml:space="preserve">Payment </t>
        </is>
      </c>
    </row>
    <row r="29" ht="18" customHeight="1" s="562">
      <c r="A29" s="625" t="n">
        <v>45996</v>
      </c>
      <c r="B29" s="766" t="inlineStr">
        <is>
          <t xml:space="preserve">invoiced </t>
        </is>
      </c>
      <c r="C29" s="627" t="n">
        <v>5250</v>
      </c>
      <c r="E29" s="625" t="n">
        <v>45996</v>
      </c>
      <c r="F29" s="766" t="inlineStr">
        <is>
          <t xml:space="preserve">invoiced </t>
        </is>
      </c>
      <c r="G29" s="601" t="n">
        <v>3750</v>
      </c>
      <c r="I29" s="625" t="n">
        <v>45992</v>
      </c>
      <c r="J29" s="766" t="inlineStr">
        <is>
          <t>1 Dec -12 Dec</t>
        </is>
      </c>
      <c r="K29" s="627" t="n">
        <v>7000</v>
      </c>
      <c r="M29" s="628" t="n">
        <v>46000</v>
      </c>
      <c r="N29" s="766" t="inlineStr">
        <is>
          <t xml:space="preserve">invoiced </t>
        </is>
      </c>
      <c r="O29" s="627" t="n">
        <v>5900</v>
      </c>
      <c r="Q29" s="628" t="n">
        <v>45992</v>
      </c>
      <c r="R29" s="766" t="inlineStr">
        <is>
          <t xml:space="preserve">invoiced </t>
        </is>
      </c>
      <c r="S29" s="627" t="n">
        <v>5250</v>
      </c>
    </row>
    <row r="30" ht="18" customHeight="1" s="562">
      <c r="A30" s="625" t="n">
        <v>46003</v>
      </c>
      <c r="B30" s="766" t="inlineStr">
        <is>
          <t xml:space="preserve">invoiced </t>
        </is>
      </c>
      <c r="C30" s="627" t="n">
        <v>5250</v>
      </c>
      <c r="E30" s="625" t="n">
        <v>46003</v>
      </c>
      <c r="F30" s="766" t="inlineStr">
        <is>
          <t xml:space="preserve">invoiced </t>
        </is>
      </c>
      <c r="G30" s="601" t="n">
        <v>3750</v>
      </c>
      <c r="I30" s="625" t="n">
        <v>46002</v>
      </c>
      <c r="J30" s="766" t="inlineStr">
        <is>
          <t xml:space="preserve">Invocied </t>
        </is>
      </c>
      <c r="K30" s="627" t="n">
        <v>4900</v>
      </c>
      <c r="M30" s="628" t="n">
        <v>46006</v>
      </c>
      <c r="N30" s="766" t="inlineStr">
        <is>
          <t xml:space="preserve">invoiced </t>
        </is>
      </c>
      <c r="O30" s="627" t="n">
        <v>4950</v>
      </c>
      <c r="Q30" s="628" t="n">
        <v>46000</v>
      </c>
      <c r="R30" s="766" t="inlineStr">
        <is>
          <t xml:space="preserve">invoiced </t>
        </is>
      </c>
      <c r="S30" s="627" t="n">
        <v>2250</v>
      </c>
    </row>
    <row r="31" ht="18" customHeight="1" s="562">
      <c r="A31" s="625" t="n">
        <v>46010</v>
      </c>
      <c r="B31" s="626" t="n"/>
      <c r="C31" s="627" t="n">
        <v>4750</v>
      </c>
      <c r="E31" s="625" t="n">
        <v>46010</v>
      </c>
      <c r="F31" s="766" t="inlineStr">
        <is>
          <t xml:space="preserve">invoiced </t>
        </is>
      </c>
      <c r="G31" s="601" t="n">
        <v>3000</v>
      </c>
      <c r="I31" s="625" t="n"/>
      <c r="J31" s="626" t="n"/>
      <c r="K31" s="624" t="n"/>
      <c r="M31" s="628" t="n"/>
      <c r="N31" s="626" t="n"/>
      <c r="O31" s="624" t="n"/>
      <c r="Q31" s="628" t="n"/>
      <c r="R31" s="626" t="n"/>
      <c r="S31" s="627" t="n"/>
    </row>
    <row r="32" ht="18" customHeight="1" s="562">
      <c r="A32" s="625" t="n">
        <v>46017</v>
      </c>
      <c r="B32" s="626" t="n"/>
      <c r="C32" s="639" t="n"/>
      <c r="E32" s="625" t="n">
        <v>46017</v>
      </c>
      <c r="F32" s="766" t="inlineStr">
        <is>
          <t xml:space="preserve">invoiced </t>
        </is>
      </c>
      <c r="G32" s="601" t="n">
        <v>3000</v>
      </c>
      <c r="I32" s="625" t="n"/>
      <c r="J32" s="626" t="n"/>
      <c r="K32" s="624" t="n"/>
      <c r="M32" s="628" t="n"/>
      <c r="N32" s="626" t="n"/>
      <c r="O32" s="624" t="n"/>
      <c r="Q32" s="628" t="n"/>
      <c r="R32" s="626" t="n"/>
      <c r="S32" s="624" t="n"/>
    </row>
    <row r="33" ht="18.75" customHeight="1" s="562">
      <c r="A33" s="625" t="n"/>
      <c r="B33" s="626" t="n"/>
      <c r="C33" s="626" t="n"/>
      <c r="E33" s="625" t="n">
        <v>46020</v>
      </c>
      <c r="F33" s="766" t="inlineStr">
        <is>
          <t xml:space="preserve">invoiced </t>
        </is>
      </c>
      <c r="G33" s="601" t="n">
        <v>3000</v>
      </c>
      <c r="I33" s="625" t="n"/>
      <c r="J33" s="626" t="n"/>
      <c r="K33" s="626" t="n"/>
      <c r="M33" s="628" t="n"/>
      <c r="N33" s="626" t="n"/>
      <c r="O33" s="626" t="n"/>
      <c r="Q33" s="628" t="n"/>
      <c r="R33" s="626" t="n"/>
      <c r="S33" s="626" t="n"/>
    </row>
    <row r="34" ht="18.75" customHeight="1" s="562">
      <c r="A34" s="622" t="n"/>
      <c r="B34" s="623" t="n"/>
      <c r="C34" s="631">
        <f>SUM(C29:C32)</f>
        <v/>
      </c>
      <c r="E34" s="620" t="n"/>
      <c r="F34" s="591" t="n"/>
      <c r="G34" s="629">
        <f>SUM(G29:G33)</f>
        <v/>
      </c>
      <c r="I34" s="622" t="n"/>
      <c r="J34" s="623" t="n"/>
      <c r="K34" s="631">
        <f>SUM(K29:K33)</f>
        <v/>
      </c>
      <c r="M34" s="622" t="n"/>
      <c r="N34" s="623" t="n"/>
      <c r="O34" s="631">
        <f>SUM(O29:O32)</f>
        <v/>
      </c>
      <c r="Q34" s="622" t="n"/>
      <c r="R34" s="623" t="n"/>
      <c r="S34" s="631">
        <f>SUM(S29:S32)</f>
        <v/>
      </c>
    </row>
    <row r="35" ht="18.75" customHeight="1" s="562">
      <c r="A35" s="633" t="inlineStr">
        <is>
          <t xml:space="preserve">Expenses </t>
        </is>
      </c>
      <c r="B35" s="617" t="n"/>
      <c r="C35" s="618" t="n"/>
      <c r="E35" s="632" t="inlineStr">
        <is>
          <t xml:space="preserve">Expenses </t>
        </is>
      </c>
      <c r="F35" s="617" t="n"/>
      <c r="G35" s="618" t="n"/>
      <c r="I35" s="643" t="inlineStr">
        <is>
          <t xml:space="preserve">Expenses </t>
        </is>
      </c>
      <c r="J35" s="617" t="n"/>
      <c r="K35" s="618" t="n"/>
      <c r="M35" s="643" t="inlineStr">
        <is>
          <t xml:space="preserve">Expenses </t>
        </is>
      </c>
      <c r="N35" s="617" t="n"/>
      <c r="O35" s="618" t="n"/>
      <c r="Q35" s="643" t="inlineStr">
        <is>
          <t xml:space="preserve">Expenses </t>
        </is>
      </c>
      <c r="R35" s="617" t="n"/>
      <c r="S35" s="618" t="n"/>
    </row>
    <row r="36" ht="18" customHeight="1" s="562">
      <c r="A36" s="622" t="inlineStr">
        <is>
          <t>Date:</t>
        </is>
      </c>
      <c r="B36" s="623" t="inlineStr">
        <is>
          <t xml:space="preserve">Expense Name </t>
        </is>
      </c>
      <c r="C36" s="624" t="inlineStr">
        <is>
          <t xml:space="preserve">Amount </t>
        </is>
      </c>
      <c r="E36" s="620" t="inlineStr">
        <is>
          <t>Date:</t>
        </is>
      </c>
      <c r="F36" s="591" t="inlineStr">
        <is>
          <t xml:space="preserve">Expense Name </t>
        </is>
      </c>
      <c r="G36" s="621" t="inlineStr">
        <is>
          <t xml:space="preserve">Amount </t>
        </is>
      </c>
      <c r="I36" s="622" t="inlineStr">
        <is>
          <t>Date:</t>
        </is>
      </c>
      <c r="J36" s="623" t="inlineStr">
        <is>
          <t xml:space="preserve">Expense Name </t>
        </is>
      </c>
      <c r="K36" s="624" t="inlineStr">
        <is>
          <t xml:space="preserve">Amount </t>
        </is>
      </c>
      <c r="M36" s="622" t="inlineStr">
        <is>
          <t>Date:</t>
        </is>
      </c>
      <c r="N36" s="623" t="inlineStr">
        <is>
          <t xml:space="preserve">Expense Name </t>
        </is>
      </c>
      <c r="O36" s="624" t="inlineStr">
        <is>
          <t xml:space="preserve">Amount </t>
        </is>
      </c>
      <c r="Q36" s="622" t="inlineStr">
        <is>
          <t>Date:</t>
        </is>
      </c>
      <c r="R36" s="623" t="inlineStr">
        <is>
          <t xml:space="preserve">Expense Name </t>
        </is>
      </c>
      <c r="S36" s="624" t="inlineStr">
        <is>
          <t xml:space="preserve">Amount </t>
        </is>
      </c>
    </row>
    <row r="37" ht="18" customHeight="1" s="562">
      <c r="A37" s="625" t="n">
        <v>45992</v>
      </c>
      <c r="B37" s="591" t="inlineStr">
        <is>
          <t>Reflioe</t>
        </is>
      </c>
      <c r="C37" s="621" t="n">
        <v>6300</v>
      </c>
      <c r="E37" s="625" t="n">
        <v>45992</v>
      </c>
      <c r="F37" s="591" t="inlineStr">
        <is>
          <t>Siphilisiwe (Patrica)</t>
        </is>
      </c>
      <c r="G37" s="621" t="n">
        <v>8750</v>
      </c>
      <c r="I37" s="625" t="n">
        <v>45992</v>
      </c>
      <c r="J37" s="623" t="inlineStr">
        <is>
          <t>Sylvia Nene</t>
        </is>
      </c>
      <c r="K37" s="624" t="n">
        <v>5150</v>
      </c>
      <c r="M37" s="625" t="n">
        <v>45992</v>
      </c>
      <c r="N37" s="623" t="inlineStr">
        <is>
          <t>Ruth</t>
        </is>
      </c>
      <c r="O37" s="624" t="n">
        <v>6750</v>
      </c>
      <c r="Q37" s="628" t="n">
        <v>45962</v>
      </c>
      <c r="R37" s="623" t="inlineStr">
        <is>
          <t>Sophia</t>
        </is>
      </c>
      <c r="S37" s="624" t="n">
        <v>5850</v>
      </c>
    </row>
    <row r="38" ht="18" customHeight="1" s="562">
      <c r="A38" s="625" t="n">
        <v>45992</v>
      </c>
      <c r="B38" s="591" t="inlineStr">
        <is>
          <t xml:space="preserve">Siphethokhuhle </t>
        </is>
      </c>
      <c r="C38" s="621" t="n">
        <v>3150</v>
      </c>
      <c r="E38" s="628" t="n"/>
      <c r="G38" s="621" t="n"/>
      <c r="I38" s="628" t="n"/>
      <c r="J38" s="623" t="n"/>
      <c r="K38" s="624" t="n"/>
      <c r="M38" s="628" t="n"/>
      <c r="N38" s="623" t="n"/>
      <c r="O38" s="624" t="n"/>
      <c r="Q38" s="628" t="n"/>
      <c r="R38" s="623" t="n"/>
      <c r="S38" s="624" t="n"/>
    </row>
    <row r="39" ht="18" customHeight="1" s="562">
      <c r="A39" s="620" t="n"/>
      <c r="B39" s="591" t="n"/>
      <c r="C39" s="621" t="n"/>
      <c r="E39" s="628" t="n"/>
      <c r="F39" s="591" t="n"/>
      <c r="G39" s="621" t="n"/>
      <c r="I39" s="628" t="n"/>
      <c r="J39" s="623" t="n"/>
      <c r="K39" s="624" t="n"/>
      <c r="M39" s="628" t="n"/>
      <c r="N39" s="623" t="n"/>
      <c r="O39" s="624" t="n"/>
      <c r="Q39" s="628" t="n"/>
      <c r="R39" s="623" t="n"/>
      <c r="S39" s="624" t="n"/>
    </row>
    <row r="40" ht="18" customHeight="1" s="562">
      <c r="A40" s="620" t="n"/>
      <c r="B40" s="591" t="n"/>
      <c r="C40" s="621" t="n"/>
      <c r="E40" s="620" t="n"/>
      <c r="F40" s="591" t="n"/>
      <c r="G40" s="621" t="n"/>
      <c r="I40" s="622" t="n"/>
      <c r="J40" s="623" t="n"/>
      <c r="K40" s="624" t="n"/>
      <c r="M40" s="622" t="n"/>
      <c r="N40" s="623" t="n"/>
      <c r="O40" s="624" t="n"/>
      <c r="Q40" s="622" t="n"/>
      <c r="R40" s="623" t="n"/>
      <c r="S40" s="624" t="n"/>
    </row>
    <row r="41" ht="18" customHeight="1" s="562">
      <c r="A41" s="620" t="n"/>
      <c r="B41" s="591" t="n"/>
      <c r="C41" s="621" t="n"/>
      <c r="E41" s="620" t="n"/>
      <c r="F41" s="591" t="n"/>
      <c r="G41" s="621" t="n"/>
      <c r="I41" s="622" t="n"/>
      <c r="J41" s="623" t="n"/>
      <c r="K41" s="624" t="n"/>
      <c r="M41" s="622" t="n"/>
      <c r="N41" s="623" t="n"/>
      <c r="O41" s="624" t="n"/>
      <c r="Q41" s="622" t="n"/>
      <c r="R41" s="623" t="n"/>
      <c r="S41" s="624" t="n"/>
    </row>
    <row r="42" ht="18" customHeight="1" s="562">
      <c r="A42" s="620" t="n"/>
      <c r="B42" s="591" t="n"/>
      <c r="C42" s="621" t="n"/>
      <c r="E42" s="620" t="n"/>
      <c r="F42" s="591" t="n"/>
      <c r="G42" s="621" t="n"/>
      <c r="I42" s="622" t="n"/>
      <c r="J42" s="623" t="n"/>
      <c r="K42" s="624" t="n"/>
      <c r="M42" s="622" t="n"/>
      <c r="N42" s="623" t="n"/>
      <c r="O42" s="624" t="n"/>
      <c r="Q42" s="622" t="n"/>
      <c r="R42" s="623" t="n"/>
      <c r="S42" s="624" t="n"/>
    </row>
    <row r="43" ht="18" customHeight="1" s="562">
      <c r="A43" s="620" t="n"/>
      <c r="B43" s="591" t="n"/>
      <c r="C43" s="621" t="n"/>
      <c r="E43" s="620" t="n"/>
      <c r="F43" s="591" t="n"/>
      <c r="G43" s="621" t="n"/>
      <c r="I43" s="622" t="n"/>
      <c r="J43" s="623" t="n"/>
      <c r="K43" s="624" t="n"/>
      <c r="M43" s="622" t="n"/>
      <c r="N43" s="623" t="n"/>
      <c r="O43" s="624" t="n"/>
      <c r="Q43" s="622" t="n"/>
      <c r="R43" s="623" t="n"/>
      <c r="S43" s="624" t="n"/>
    </row>
    <row r="44" ht="18" customHeight="1" s="562">
      <c r="A44" s="620" t="n"/>
      <c r="B44" s="591" t="n"/>
      <c r="C44" s="621" t="n"/>
      <c r="E44" s="620" t="n"/>
      <c r="F44" s="591" t="n"/>
      <c r="G44" s="621" t="n"/>
      <c r="I44" s="622" t="n"/>
      <c r="J44" s="623" t="n"/>
      <c r="K44" s="624" t="n"/>
      <c r="M44" s="622" t="n"/>
      <c r="N44" s="623" t="n"/>
      <c r="O44" s="624" t="n"/>
      <c r="Q44" s="622" t="n"/>
      <c r="R44" s="623" t="n"/>
      <c r="S44" s="624" t="n"/>
    </row>
    <row r="45" ht="18" customHeight="1" s="562">
      <c r="A45" s="620" t="n"/>
      <c r="B45" s="591" t="n"/>
      <c r="C45" s="621" t="n"/>
      <c r="E45" s="620" t="n"/>
      <c r="F45" s="591" t="n"/>
      <c r="G45" s="621" t="n"/>
      <c r="I45" s="622" t="n"/>
      <c r="J45" s="623" t="n"/>
      <c r="K45" s="624" t="n"/>
      <c r="M45" s="622" t="n"/>
      <c r="N45" s="623" t="n"/>
      <c r="O45" s="624" t="n"/>
      <c r="Q45" s="622" t="n"/>
      <c r="R45" s="623" t="n"/>
      <c r="S45" s="624" t="n"/>
    </row>
    <row r="46" ht="18" customHeight="1" s="562">
      <c r="A46" s="620" t="n"/>
      <c r="B46" s="591" t="n"/>
      <c r="C46" s="621" t="n"/>
      <c r="E46" s="620" t="n"/>
      <c r="F46" s="591" t="n"/>
      <c r="G46" s="621" t="n"/>
      <c r="I46" s="622" t="n"/>
      <c r="J46" s="623" t="n"/>
      <c r="K46" s="624" t="n"/>
      <c r="M46" s="622" t="n"/>
      <c r="N46" s="623" t="n"/>
      <c r="O46" s="624" t="n"/>
      <c r="Q46" s="622" t="n"/>
      <c r="R46" s="623" t="n"/>
      <c r="S46" s="624" t="n"/>
    </row>
    <row r="47" ht="18" customHeight="1" s="562">
      <c r="A47" s="620" t="n"/>
      <c r="B47" s="591" t="n"/>
      <c r="C47" s="621" t="n"/>
      <c r="E47" s="620" t="n"/>
      <c r="F47" s="591" t="n"/>
      <c r="G47" s="621" t="n"/>
      <c r="I47" s="622" t="n"/>
      <c r="J47" s="623" t="n"/>
      <c r="K47" s="624" t="n"/>
      <c r="M47" s="622" t="n"/>
      <c r="N47" s="623" t="n"/>
      <c r="O47" s="624" t="n"/>
      <c r="Q47" s="622" t="n"/>
      <c r="R47" s="623" t="n"/>
      <c r="S47" s="624" t="n"/>
    </row>
    <row r="48" ht="18.75" customHeight="1" s="562">
      <c r="A48" s="620" t="n"/>
      <c r="B48" s="591" t="n"/>
      <c r="C48" s="621" t="n"/>
      <c r="E48" s="620" t="n"/>
      <c r="F48" s="591" t="n"/>
      <c r="G48" s="621" t="n"/>
      <c r="I48" s="622" t="n"/>
      <c r="J48" s="623" t="n"/>
      <c r="K48" s="624" t="n"/>
      <c r="M48" s="622" t="n"/>
      <c r="N48" s="623" t="n"/>
      <c r="O48" s="624" t="n"/>
      <c r="Q48" s="622" t="n"/>
      <c r="R48" s="623" t="n"/>
      <c r="S48" s="624" t="n"/>
    </row>
    <row r="49" ht="18.75" customHeight="1" s="562">
      <c r="A49" s="634" t="inlineStr">
        <is>
          <t xml:space="preserve">Total Expense </t>
        </is>
      </c>
      <c r="B49" s="617" t="n"/>
      <c r="C49" s="635">
        <f>SUM(C37:C48)</f>
        <v/>
      </c>
      <c r="E49" s="634" t="inlineStr">
        <is>
          <t xml:space="preserve">Total Expense </t>
        </is>
      </c>
      <c r="F49" s="617" t="n"/>
      <c r="G49" s="635">
        <f>SUM(G37:G48)</f>
        <v/>
      </c>
      <c r="I49" s="644" t="inlineStr">
        <is>
          <t xml:space="preserve">Total Expense </t>
        </is>
      </c>
      <c r="J49" s="637" t="n"/>
      <c r="K49" s="645">
        <f>SUM(K37:K48)</f>
        <v/>
      </c>
      <c r="M49" s="644" t="inlineStr">
        <is>
          <t xml:space="preserve">Total Expense </t>
        </is>
      </c>
      <c r="N49" s="637" t="n"/>
      <c r="O49" s="645">
        <f>SUM(O37:O48)</f>
        <v/>
      </c>
      <c r="Q49" s="644" t="inlineStr">
        <is>
          <t xml:space="preserve">Total Expense </t>
        </is>
      </c>
      <c r="R49" s="637" t="n"/>
      <c r="S49" s="645">
        <f>SUM(S37:S48)</f>
        <v/>
      </c>
    </row>
    <row r="50" ht="18.75" customHeight="1" s="562">
      <c r="A50" s="636" t="inlineStr">
        <is>
          <t xml:space="preserve">Income - Expense </t>
        </is>
      </c>
      <c r="B50" s="637" t="n"/>
      <c r="C50" s="638">
        <f>MIN(C34-C49)</f>
        <v/>
      </c>
      <c r="E50" s="636" t="inlineStr">
        <is>
          <t xml:space="preserve">Income - Expense </t>
        </is>
      </c>
      <c r="F50" s="637" t="n"/>
      <c r="G50" s="638">
        <f>MIN(G34-G49)</f>
        <v/>
      </c>
      <c r="I50" s="646" t="inlineStr">
        <is>
          <t xml:space="preserve">Income - Expense </t>
        </is>
      </c>
      <c r="J50" s="637" t="n"/>
      <c r="K50" s="647">
        <f>MIN(K34-K49)</f>
        <v/>
      </c>
      <c r="M50" s="646" t="inlineStr">
        <is>
          <t xml:space="preserve">Income - Expense </t>
        </is>
      </c>
      <c r="N50" s="637" t="n"/>
      <c r="O50" s="647">
        <f>MIN(O34-O49)</f>
        <v/>
      </c>
      <c r="Q50" s="646" t="inlineStr">
        <is>
          <t xml:space="preserve">Income - Expense </t>
        </is>
      </c>
      <c r="R50" s="637" t="n"/>
      <c r="S50" s="647">
        <f>MIN(S34-S37)</f>
        <v/>
      </c>
    </row>
    <row r="52" ht="18.75" customHeight="1" s="562">
      <c r="A52" s="615" t="inlineStr">
        <is>
          <t xml:space="preserve">Lucy </t>
        </is>
      </c>
      <c r="B52" s="613" t="n"/>
      <c r="C52" s="614" t="n"/>
      <c r="E52" s="615" t="inlineStr">
        <is>
          <t>Mia Rus</t>
        </is>
      </c>
      <c r="F52" s="613" t="n"/>
      <c r="G52" s="614" t="n"/>
      <c r="I52" s="615" t="inlineStr">
        <is>
          <t xml:space="preserve">Johanna Van Heerden </t>
        </is>
      </c>
      <c r="J52" s="613" t="n"/>
      <c r="K52" s="614" t="n"/>
      <c r="M52" s="615" t="inlineStr">
        <is>
          <t xml:space="preserve">Andre Theron </t>
        </is>
      </c>
      <c r="N52" s="613" t="n"/>
      <c r="O52" s="614" t="n"/>
      <c r="Q52" s="615" t="inlineStr">
        <is>
          <t>Angela/ Dimitri Paoadopoulos</t>
        </is>
      </c>
      <c r="R52" s="613" t="n"/>
      <c r="S52" s="614" t="n"/>
    </row>
    <row r="53" ht="18.75" customHeight="1" s="562">
      <c r="A53" s="619" t="inlineStr">
        <is>
          <t xml:space="preserve">Income </t>
        </is>
      </c>
      <c r="B53" s="617" t="n"/>
      <c r="C53" s="618" t="n"/>
      <c r="E53" s="619" t="inlineStr">
        <is>
          <t xml:space="preserve">Income </t>
        </is>
      </c>
      <c r="F53" s="617" t="n"/>
      <c r="G53" s="618" t="n"/>
      <c r="I53" s="619" t="inlineStr">
        <is>
          <t xml:space="preserve">Income </t>
        </is>
      </c>
      <c r="J53" s="617" t="n"/>
      <c r="K53" s="618" t="n"/>
      <c r="M53" s="619" t="inlineStr">
        <is>
          <t xml:space="preserve">Income </t>
        </is>
      </c>
      <c r="N53" s="617" t="n"/>
      <c r="O53" s="618" t="n"/>
      <c r="Q53" s="619" t="inlineStr">
        <is>
          <t xml:space="preserve">Income </t>
        </is>
      </c>
      <c r="R53" s="617" t="n"/>
      <c r="S53" s="618" t="n"/>
    </row>
    <row r="54" ht="18" customHeight="1" s="562">
      <c r="A54" s="622" t="inlineStr">
        <is>
          <t>Date:</t>
        </is>
      </c>
      <c r="B54" s="623" t="n"/>
      <c r="C54" s="624" t="inlineStr">
        <is>
          <t xml:space="preserve">Payment </t>
        </is>
      </c>
      <c r="E54" s="622" t="inlineStr">
        <is>
          <t>Date:</t>
        </is>
      </c>
      <c r="F54" s="623" t="n"/>
      <c r="G54" s="624" t="inlineStr">
        <is>
          <t xml:space="preserve">Payment </t>
        </is>
      </c>
      <c r="I54" s="622" t="inlineStr">
        <is>
          <t>Date:</t>
        </is>
      </c>
      <c r="J54" s="623" t="n"/>
      <c r="K54" s="624" t="inlineStr">
        <is>
          <t xml:space="preserve">Payment </t>
        </is>
      </c>
      <c r="M54" s="622" t="inlineStr">
        <is>
          <t>Date:</t>
        </is>
      </c>
      <c r="N54" s="623" t="n"/>
      <c r="O54" s="624" t="inlineStr">
        <is>
          <t xml:space="preserve">Payment </t>
        </is>
      </c>
      <c r="Q54" s="622" t="inlineStr">
        <is>
          <t>Date:</t>
        </is>
      </c>
      <c r="R54" s="623" t="n"/>
      <c r="S54" s="624" t="inlineStr">
        <is>
          <t xml:space="preserve">Payment </t>
        </is>
      </c>
    </row>
    <row r="55" ht="18" customHeight="1" s="562">
      <c r="A55" s="628" t="n">
        <v>46001</v>
      </c>
      <c r="B55" s="766" t="inlineStr">
        <is>
          <t xml:space="preserve">invoiced </t>
        </is>
      </c>
      <c r="C55" s="627" t="n">
        <v>2250</v>
      </c>
      <c r="E55" s="628" t="n">
        <v>45992</v>
      </c>
      <c r="F55" s="626" t="n"/>
      <c r="G55" s="627" t="n">
        <v>9387</v>
      </c>
      <c r="I55" s="628" t="n">
        <v>45992</v>
      </c>
      <c r="J55" s="766" t="inlineStr">
        <is>
          <t xml:space="preserve">invoiced </t>
        </is>
      </c>
      <c r="K55" s="627" t="n">
        <v>23250</v>
      </c>
      <c r="M55" s="628" t="n">
        <v>45992</v>
      </c>
      <c r="N55" s="766" t="inlineStr">
        <is>
          <t xml:space="preserve">invoiced </t>
        </is>
      </c>
      <c r="O55" s="627" t="n">
        <v>5250</v>
      </c>
      <c r="Q55" s="628" t="n">
        <v>46008</v>
      </c>
      <c r="R55" s="766" t="inlineStr">
        <is>
          <t xml:space="preserve">invoiced </t>
        </is>
      </c>
      <c r="S55" s="627" t="n">
        <v>13300</v>
      </c>
    </row>
    <row r="56" ht="18" customHeight="1" s="562">
      <c r="A56" s="628" t="n">
        <v>46006</v>
      </c>
      <c r="B56" s="766" t="inlineStr">
        <is>
          <t xml:space="preserve">invoiced </t>
        </is>
      </c>
      <c r="C56" s="627" t="n">
        <v>3000</v>
      </c>
      <c r="E56" s="628" t="n"/>
      <c r="F56" s="626" t="n"/>
      <c r="G56" s="627" t="n"/>
      <c r="I56" s="628" t="n"/>
      <c r="J56" s="766" t="n"/>
      <c r="K56" s="624" t="n"/>
      <c r="M56" s="628" t="n">
        <v>46006</v>
      </c>
      <c r="N56" s="766" t="inlineStr">
        <is>
          <t xml:space="preserve">invoiced </t>
        </is>
      </c>
      <c r="O56" s="627" t="n">
        <v>10700</v>
      </c>
      <c r="Q56" s="628" t="n"/>
      <c r="R56" s="766" t="n"/>
      <c r="S56" s="627" t="n"/>
    </row>
    <row r="57" ht="18" customHeight="1" s="562">
      <c r="A57" s="628" t="n"/>
      <c r="B57" s="626" t="n"/>
      <c r="C57" s="627" t="n"/>
      <c r="E57" s="628" t="n"/>
      <c r="G57" s="627" t="n"/>
      <c r="I57" s="628" t="n"/>
      <c r="K57" s="624" t="n"/>
      <c r="M57" s="628" t="n"/>
      <c r="O57" s="624" t="n"/>
      <c r="Q57" s="628" t="n"/>
      <c r="S57" s="624" t="n"/>
    </row>
    <row r="58" ht="18.75" customHeight="1" s="562">
      <c r="A58" s="628" t="n"/>
      <c r="B58" s="626" t="n"/>
      <c r="C58" s="624" t="n"/>
      <c r="E58" s="628" t="n"/>
      <c r="F58" s="626" t="n"/>
      <c r="G58" s="624" t="n"/>
      <c r="I58" s="628" t="n"/>
      <c r="J58" s="626" t="n"/>
      <c r="K58" s="624" t="n"/>
      <c r="M58" s="628" t="n"/>
      <c r="N58" s="626" t="n"/>
      <c r="O58" s="624" t="n"/>
      <c r="Q58" s="628" t="n"/>
      <c r="R58" s="626" t="n"/>
      <c r="S58" s="624" t="n"/>
    </row>
    <row r="59" ht="18.75" customHeight="1" s="562">
      <c r="A59" s="622" t="n"/>
      <c r="B59" s="623" t="n"/>
      <c r="C59" s="631">
        <f>SUM(C55:C58)</f>
        <v/>
      </c>
      <c r="E59" s="622" t="n"/>
      <c r="F59" s="623" t="n"/>
      <c r="G59" s="631">
        <f>SUM(G55:G58)</f>
        <v/>
      </c>
      <c r="I59" s="622" t="n"/>
      <c r="J59" s="623" t="n"/>
      <c r="K59" s="631">
        <f>SUM(K55:K58)</f>
        <v/>
      </c>
      <c r="M59" s="622" t="n"/>
      <c r="N59" s="623" t="n"/>
      <c r="O59" s="631">
        <f>SUM(O55:O58)</f>
        <v/>
      </c>
      <c r="Q59" s="622" t="n"/>
      <c r="R59" s="623" t="n"/>
      <c r="S59" s="631">
        <f>SUM(S55:S58)</f>
        <v/>
      </c>
    </row>
    <row r="60" ht="18.75" customHeight="1" s="562">
      <c r="A60" s="643" t="inlineStr">
        <is>
          <t xml:space="preserve">Expenses </t>
        </is>
      </c>
      <c r="B60" s="617" t="n"/>
      <c r="C60" s="618" t="n"/>
      <c r="E60" s="643" t="inlineStr">
        <is>
          <t xml:space="preserve">Expenses </t>
        </is>
      </c>
      <c r="F60" s="617" t="n"/>
      <c r="G60" s="618" t="n"/>
      <c r="I60" s="643" t="inlineStr">
        <is>
          <t xml:space="preserve">Expenses </t>
        </is>
      </c>
      <c r="J60" s="617" t="n"/>
      <c r="K60" s="618" t="n"/>
      <c r="M60" s="643" t="inlineStr">
        <is>
          <t xml:space="preserve">Expenses </t>
        </is>
      </c>
      <c r="N60" s="617" t="n"/>
      <c r="O60" s="618" t="n"/>
      <c r="Q60" s="643" t="inlineStr">
        <is>
          <t xml:space="preserve">Expenses </t>
        </is>
      </c>
      <c r="R60" s="617" t="n"/>
      <c r="S60" s="618" t="n"/>
    </row>
    <row r="61" ht="18" customHeight="1" s="562">
      <c r="A61" s="622" t="inlineStr">
        <is>
          <t>Date:</t>
        </is>
      </c>
      <c r="B61" s="623" t="inlineStr">
        <is>
          <t xml:space="preserve">Expense Name </t>
        </is>
      </c>
      <c r="C61" s="624" t="inlineStr">
        <is>
          <t xml:space="preserve">Amount </t>
        </is>
      </c>
      <c r="E61" s="622" t="inlineStr">
        <is>
          <t>Date:</t>
        </is>
      </c>
      <c r="F61" s="623" t="inlineStr">
        <is>
          <t xml:space="preserve">Expense Name </t>
        </is>
      </c>
      <c r="G61" s="624" t="inlineStr">
        <is>
          <t xml:space="preserve">Amount </t>
        </is>
      </c>
      <c r="I61" s="622" t="inlineStr">
        <is>
          <t>Date:</t>
        </is>
      </c>
      <c r="J61" s="623" t="inlineStr">
        <is>
          <t xml:space="preserve">Expense Name </t>
        </is>
      </c>
      <c r="K61" s="624" t="inlineStr">
        <is>
          <t xml:space="preserve">Amount </t>
        </is>
      </c>
      <c r="M61" s="622" t="inlineStr">
        <is>
          <t>Date:</t>
        </is>
      </c>
      <c r="N61" s="623" t="inlineStr">
        <is>
          <t xml:space="preserve">Expense Name </t>
        </is>
      </c>
      <c r="O61" s="624" t="inlineStr">
        <is>
          <t xml:space="preserve">Amount </t>
        </is>
      </c>
      <c r="Q61" s="622" t="inlineStr">
        <is>
          <t>Date:</t>
        </is>
      </c>
      <c r="R61" s="623" t="inlineStr">
        <is>
          <t xml:space="preserve">Expense Name </t>
        </is>
      </c>
      <c r="S61" s="624" t="inlineStr">
        <is>
          <t xml:space="preserve">Amount </t>
        </is>
      </c>
    </row>
    <row r="62" ht="18" customHeight="1" s="562">
      <c r="A62" s="628" t="n"/>
      <c r="B62" s="623" t="inlineStr">
        <is>
          <t>Joyce</t>
        </is>
      </c>
      <c r="C62" s="624" t="n">
        <v>3150</v>
      </c>
      <c r="E62" s="625" t="n">
        <v>45992</v>
      </c>
      <c r="F62" s="623" t="inlineStr">
        <is>
          <t>Marion</t>
        </is>
      </c>
      <c r="G62" s="624" t="n">
        <v>4950</v>
      </c>
      <c r="I62" s="625" t="n">
        <v>45992</v>
      </c>
      <c r="J62" s="623" t="inlineStr">
        <is>
          <t xml:space="preserve">Christina </t>
        </is>
      </c>
      <c r="K62" s="624" t="n">
        <v>9450</v>
      </c>
      <c r="M62" s="625" t="n">
        <v>45992</v>
      </c>
      <c r="N62" s="623" t="inlineStr">
        <is>
          <t>Rebecca</t>
        </is>
      </c>
      <c r="O62" s="624" t="n">
        <v>2700</v>
      </c>
      <c r="Q62" s="625" t="n">
        <v>45992</v>
      </c>
      <c r="R62" s="623" t="inlineStr">
        <is>
          <t>Tracy</t>
        </is>
      </c>
      <c r="S62" s="624" t="n">
        <v>5850</v>
      </c>
    </row>
    <row r="63" ht="18" customHeight="1" s="562">
      <c r="A63" s="628" t="n"/>
      <c r="B63" s="623" t="n"/>
      <c r="C63" s="624" t="n"/>
      <c r="E63" s="628" t="n"/>
      <c r="F63" s="623" t="n"/>
      <c r="G63" s="624" t="n"/>
      <c r="I63" s="628" t="n"/>
      <c r="J63" s="623" t="inlineStr">
        <is>
          <t xml:space="preserve">Jane </t>
        </is>
      </c>
      <c r="K63" s="624" t="n">
        <v>4500</v>
      </c>
      <c r="M63" s="628" t="n">
        <v>45992</v>
      </c>
      <c r="N63" s="623" t="inlineStr">
        <is>
          <t xml:space="preserve">Sophia </t>
        </is>
      </c>
      <c r="O63" s="624" t="n">
        <v>3600</v>
      </c>
      <c r="Q63" s="628" t="n"/>
      <c r="R63" s="623" t="n"/>
      <c r="S63" s="624" t="n"/>
    </row>
    <row r="64" ht="18" customHeight="1" s="562">
      <c r="A64" s="628" t="n"/>
      <c r="B64" s="623" t="n"/>
      <c r="C64" s="624" t="n"/>
      <c r="E64" s="628" t="n"/>
      <c r="F64" s="623" t="n"/>
      <c r="G64" s="624" t="n"/>
      <c r="I64" s="628" t="n"/>
      <c r="J64" s="623" t="n"/>
      <c r="K64" s="624" t="n"/>
      <c r="M64" s="628" t="n">
        <v>45992</v>
      </c>
      <c r="N64" s="623" t="inlineStr">
        <is>
          <t xml:space="preserve">Joyce </t>
        </is>
      </c>
      <c r="O64" s="624" t="n">
        <v>3159</v>
      </c>
      <c r="Q64" s="628" t="n"/>
      <c r="R64" s="623" t="n"/>
      <c r="S64" s="624" t="n"/>
    </row>
    <row r="65" ht="18" customHeight="1" s="562">
      <c r="A65" s="622" t="n"/>
      <c r="B65" s="623" t="n"/>
      <c r="C65" s="624" t="n"/>
      <c r="E65" s="622" t="n"/>
      <c r="F65" s="623" t="n"/>
      <c r="G65" s="624" t="n"/>
      <c r="I65" s="622" t="n"/>
      <c r="J65" s="623" t="n"/>
      <c r="K65" s="624" t="n"/>
      <c r="M65" s="622" t="n"/>
      <c r="N65" s="623" t="n"/>
      <c r="O65" s="624" t="n"/>
      <c r="Q65" s="622" t="n"/>
      <c r="R65" s="623" t="n"/>
      <c r="S65" s="624" t="n"/>
    </row>
    <row r="66" ht="18" customHeight="1" s="562">
      <c r="A66" s="622" t="n"/>
      <c r="B66" s="623" t="n"/>
      <c r="C66" s="624" t="n"/>
      <c r="E66" s="622" t="n"/>
      <c r="F66" s="623" t="n"/>
      <c r="G66" s="624" t="n"/>
      <c r="I66" s="622" t="n"/>
      <c r="J66" s="623" t="n"/>
      <c r="K66" s="624" t="n"/>
      <c r="M66" s="622" t="n"/>
      <c r="N66" s="623" t="n"/>
      <c r="O66" s="624" t="n"/>
      <c r="Q66" s="622" t="n"/>
      <c r="R66" s="623" t="n"/>
      <c r="S66" s="624" t="n"/>
    </row>
    <row r="67" ht="18" customHeight="1" s="562">
      <c r="A67" s="622" t="n"/>
      <c r="B67" s="623" t="n"/>
      <c r="C67" s="624" t="n"/>
      <c r="E67" s="622" t="n"/>
      <c r="F67" s="623" t="n"/>
      <c r="G67" s="624" t="n"/>
      <c r="I67" s="622" t="n"/>
      <c r="J67" s="623" t="n"/>
      <c r="K67" s="624" t="n"/>
      <c r="M67" s="622" t="n"/>
      <c r="N67" s="623" t="n"/>
      <c r="O67" s="624" t="n"/>
      <c r="Q67" s="622" t="n"/>
      <c r="R67" s="623" t="n"/>
      <c r="S67" s="624" t="n"/>
    </row>
    <row r="68" ht="18" customHeight="1" s="562">
      <c r="A68" s="622" t="n"/>
      <c r="B68" s="623" t="n"/>
      <c r="C68" s="624" t="n"/>
      <c r="E68" s="622" t="n"/>
      <c r="F68" s="623" t="n"/>
      <c r="G68" s="624" t="n"/>
      <c r="I68" s="622" t="n"/>
      <c r="J68" s="623" t="n"/>
      <c r="K68" s="624" t="n"/>
      <c r="M68" s="622" t="n"/>
      <c r="N68" s="623" t="n"/>
      <c r="O68" s="624" t="n"/>
      <c r="Q68" s="622" t="n"/>
      <c r="R68" s="623" t="n"/>
      <c r="S68" s="624" t="n"/>
    </row>
    <row r="69" ht="18" customHeight="1" s="562">
      <c r="A69" s="622" t="n"/>
      <c r="B69" s="623" t="n"/>
      <c r="C69" s="624" t="n"/>
      <c r="E69" s="622" t="n"/>
      <c r="F69" s="623" t="n"/>
      <c r="G69" s="624" t="n"/>
      <c r="I69" s="622" t="n"/>
      <c r="J69" s="623" t="n"/>
      <c r="K69" s="624" t="n"/>
      <c r="M69" s="622" t="n"/>
      <c r="N69" s="623" t="n"/>
      <c r="O69" s="624" t="n"/>
      <c r="Q69" s="622" t="n"/>
      <c r="R69" s="623" t="n"/>
      <c r="S69" s="624" t="n"/>
    </row>
    <row r="70" ht="18" customHeight="1" s="562">
      <c r="A70" s="622" t="n"/>
      <c r="B70" s="623" t="n"/>
      <c r="C70" s="624" t="n"/>
      <c r="E70" s="622" t="n"/>
      <c r="F70" s="623" t="n"/>
      <c r="G70" s="624" t="n"/>
      <c r="I70" s="622" t="n"/>
      <c r="J70" s="623" t="n"/>
      <c r="K70" s="624" t="n"/>
      <c r="M70" s="622" t="n"/>
      <c r="N70" s="623" t="n"/>
      <c r="O70" s="624" t="n"/>
      <c r="Q70" s="622" t="n"/>
      <c r="R70" s="623" t="n"/>
      <c r="S70" s="624" t="n"/>
    </row>
    <row r="71" ht="18" customHeight="1" s="562">
      <c r="A71" s="622" t="n"/>
      <c r="B71" s="623" t="n"/>
      <c r="C71" s="624" t="n"/>
      <c r="E71" s="622" t="n"/>
      <c r="F71" s="623" t="n"/>
      <c r="G71" s="624" t="n"/>
      <c r="I71" s="622" t="n"/>
      <c r="J71" s="623" t="n"/>
      <c r="K71" s="624" t="n"/>
      <c r="M71" s="622" t="n"/>
      <c r="N71" s="623" t="n"/>
      <c r="O71" s="624" t="n"/>
      <c r="Q71" s="622" t="n"/>
      <c r="R71" s="623" t="n"/>
      <c r="S71" s="624" t="n"/>
    </row>
    <row r="72" ht="18" customHeight="1" s="562">
      <c r="A72" s="622" t="n"/>
      <c r="B72" s="623" t="n"/>
      <c r="C72" s="624" t="n"/>
      <c r="E72" s="622" t="n"/>
      <c r="F72" s="623" t="n"/>
      <c r="G72" s="624" t="n"/>
      <c r="I72" s="622" t="n"/>
      <c r="J72" s="623" t="n"/>
      <c r="K72" s="624" t="n"/>
      <c r="M72" s="622" t="n"/>
      <c r="N72" s="623" t="n"/>
      <c r="O72" s="624" t="n"/>
      <c r="Q72" s="622" t="n"/>
      <c r="R72" s="623" t="n"/>
      <c r="S72" s="624" t="n"/>
    </row>
    <row r="73" ht="18.75" customHeight="1" s="562">
      <c r="A73" s="622" t="n"/>
      <c r="B73" s="623" t="n"/>
      <c r="C73" s="624" t="n"/>
      <c r="E73" s="622" t="n"/>
      <c r="F73" s="623" t="n"/>
      <c r="G73" s="624" t="n"/>
      <c r="I73" s="622" t="n"/>
      <c r="J73" s="623" t="n"/>
      <c r="K73" s="624" t="n"/>
      <c r="M73" s="622" t="n"/>
      <c r="N73" s="623" t="n"/>
      <c r="O73" s="624" t="n"/>
      <c r="Q73" s="622" t="n"/>
      <c r="R73" s="623" t="n"/>
      <c r="S73" s="624" t="n"/>
    </row>
    <row r="74" ht="18.75" customHeight="1" s="562">
      <c r="A74" s="644" t="inlineStr">
        <is>
          <t xml:space="preserve">Total Expense </t>
        </is>
      </c>
      <c r="B74" s="637" t="n"/>
      <c r="C74" s="645">
        <f>SUM(C62:C72)</f>
        <v/>
      </c>
      <c r="E74" s="644" t="inlineStr">
        <is>
          <t xml:space="preserve">Total Expense </t>
        </is>
      </c>
      <c r="F74" s="637" t="n"/>
      <c r="G74" s="645">
        <f>SUM(G62:G66)</f>
        <v/>
      </c>
      <c r="I74" s="644" t="inlineStr">
        <is>
          <t xml:space="preserve">Total Expense </t>
        </is>
      </c>
      <c r="J74" s="637" t="n"/>
      <c r="K74" s="645">
        <f>SUM(K62:K73)</f>
        <v/>
      </c>
      <c r="M74" s="644" t="inlineStr">
        <is>
          <t xml:space="preserve">Total Expense </t>
        </is>
      </c>
      <c r="N74" s="637" t="n"/>
      <c r="O74" s="645">
        <f>SUM(O62:O73)</f>
        <v/>
      </c>
      <c r="Q74" s="644" t="inlineStr">
        <is>
          <t xml:space="preserve">Total Expense </t>
        </is>
      </c>
      <c r="R74" s="637" t="n"/>
      <c r="S74" s="645">
        <f>SUM(S62:S67)</f>
        <v/>
      </c>
    </row>
    <row r="75" ht="18.75" customHeight="1" s="562">
      <c r="A75" s="646" t="inlineStr">
        <is>
          <t xml:space="preserve">Income - Expense </t>
        </is>
      </c>
      <c r="B75" s="637" t="n"/>
      <c r="C75" s="647">
        <f>MIN(C59-C74)</f>
        <v/>
      </c>
      <c r="E75" s="646" t="inlineStr">
        <is>
          <t xml:space="preserve">Income - Expense </t>
        </is>
      </c>
      <c r="F75" s="637" t="n"/>
      <c r="G75" s="647">
        <f>MIN(G59-G74)</f>
        <v/>
      </c>
      <c r="I75" s="646" t="inlineStr">
        <is>
          <t xml:space="preserve">Income - Expense </t>
        </is>
      </c>
      <c r="J75" s="637" t="n"/>
      <c r="K75" s="647">
        <f>MIN(K59-K74)</f>
        <v/>
      </c>
      <c r="M75" s="646" t="inlineStr">
        <is>
          <t xml:space="preserve">Income - Expense </t>
        </is>
      </c>
      <c r="N75" s="637" t="n"/>
      <c r="O75" s="647">
        <f>MIN(O59-O74)</f>
        <v/>
      </c>
      <c r="Q75" s="646" t="inlineStr">
        <is>
          <t xml:space="preserve">Income - Expense </t>
        </is>
      </c>
      <c r="R75" s="637" t="n"/>
      <c r="S75" s="647">
        <f>MIN(S59-S74)</f>
        <v/>
      </c>
    </row>
    <row r="76" ht="18" customHeight="1" s="562">
      <c r="A76" s="767" t="n"/>
      <c r="B76" s="767" t="n"/>
      <c r="C76" s="768" t="n"/>
      <c r="E76" s="767" t="n"/>
      <c r="F76" s="767" t="n"/>
      <c r="G76" s="768" t="n"/>
      <c r="I76" s="767" t="n"/>
      <c r="J76" s="767" t="n"/>
      <c r="K76" s="768" t="n"/>
      <c r="M76" s="767" t="n"/>
      <c r="N76" s="767" t="n"/>
      <c r="O76" s="768" t="n"/>
      <c r="Q76" s="767" t="n"/>
      <c r="R76" s="767" t="n"/>
      <c r="S76" s="768" t="n"/>
    </row>
    <row r="77" ht="18.75" customHeight="1" s="562">
      <c r="A77" s="615" t="inlineStr">
        <is>
          <t>Marlanie</t>
        </is>
      </c>
      <c r="B77" s="613" t="n"/>
      <c r="C77" s="614" t="n"/>
      <c r="E77" s="615" t="inlineStr">
        <is>
          <t>Scroope</t>
        </is>
      </c>
      <c r="F77" s="613" t="n"/>
      <c r="G77" s="614" t="n"/>
      <c r="I77" s="615" t="inlineStr">
        <is>
          <t>Nozi</t>
        </is>
      </c>
      <c r="J77" s="613" t="n"/>
      <c r="K77" s="614" t="n"/>
      <c r="M77" s="615" t="inlineStr">
        <is>
          <t>Trish</t>
        </is>
      </c>
      <c r="N77" s="613" t="n"/>
      <c r="O77" s="614" t="n"/>
      <c r="Q77" s="767" t="n"/>
      <c r="R77" s="767" t="n"/>
      <c r="S77" s="768" t="n"/>
    </row>
    <row r="78" ht="18.75" customHeight="1" s="562">
      <c r="A78" s="619" t="inlineStr">
        <is>
          <t xml:space="preserve">Income </t>
        </is>
      </c>
      <c r="B78" s="617" t="n"/>
      <c r="C78" s="618" t="n"/>
      <c r="E78" s="619" t="inlineStr">
        <is>
          <t xml:space="preserve">Income </t>
        </is>
      </c>
      <c r="F78" s="617" t="n"/>
      <c r="G78" s="618" t="n"/>
      <c r="I78" s="619" t="inlineStr">
        <is>
          <t xml:space="preserve">Income </t>
        </is>
      </c>
      <c r="J78" s="617" t="n"/>
      <c r="K78" s="618" t="n"/>
      <c r="M78" s="619" t="inlineStr">
        <is>
          <t xml:space="preserve">Income </t>
        </is>
      </c>
      <c r="N78" s="617" t="n"/>
      <c r="O78" s="618" t="n"/>
      <c r="Q78" s="767" t="n"/>
      <c r="R78" s="767" t="n"/>
      <c r="S78" s="768" t="n"/>
    </row>
    <row r="79" ht="18" customHeight="1" s="562">
      <c r="A79" s="622" t="inlineStr">
        <is>
          <t>Date:</t>
        </is>
      </c>
      <c r="B79" s="623" t="n"/>
      <c r="C79" s="624" t="inlineStr">
        <is>
          <t xml:space="preserve">Payment </t>
        </is>
      </c>
      <c r="E79" s="622" t="inlineStr">
        <is>
          <t>Date:</t>
        </is>
      </c>
      <c r="F79" s="623" t="n"/>
      <c r="G79" s="624" t="inlineStr">
        <is>
          <t xml:space="preserve">Payment </t>
        </is>
      </c>
      <c r="I79" s="622" t="inlineStr">
        <is>
          <t>Date:</t>
        </is>
      </c>
      <c r="J79" s="623" t="n"/>
      <c r="K79" s="624" t="inlineStr">
        <is>
          <t xml:space="preserve">Payment </t>
        </is>
      </c>
      <c r="M79" s="622" t="inlineStr">
        <is>
          <t>Date:</t>
        </is>
      </c>
      <c r="N79" s="623" t="n"/>
      <c r="O79" s="624" t="inlineStr">
        <is>
          <t xml:space="preserve">Payment </t>
        </is>
      </c>
      <c r="Q79" s="767" t="n"/>
      <c r="R79" s="767" t="n"/>
      <c r="S79" s="768" t="n"/>
    </row>
    <row r="80" ht="18" customHeight="1" s="562">
      <c r="A80" s="628" t="n">
        <v>46001</v>
      </c>
      <c r="B80" s="766" t="inlineStr">
        <is>
          <t xml:space="preserve">invoiced </t>
        </is>
      </c>
      <c r="C80" s="627" t="n">
        <v>1800</v>
      </c>
      <c r="E80" s="628" t="n">
        <v>46001</v>
      </c>
      <c r="F80" s="766" t="inlineStr">
        <is>
          <t xml:space="preserve">invoiced </t>
        </is>
      </c>
      <c r="G80" s="627" t="n">
        <v>14800</v>
      </c>
      <c r="I80" s="628" t="n">
        <v>46001</v>
      </c>
      <c r="J80" s="766" t="inlineStr">
        <is>
          <t xml:space="preserve">invoiced </t>
        </is>
      </c>
      <c r="K80" s="627" t="n">
        <v>3150</v>
      </c>
      <c r="M80" s="628" t="n">
        <v>46001</v>
      </c>
      <c r="N80" s="766" t="inlineStr">
        <is>
          <t xml:space="preserve">invoiced </t>
        </is>
      </c>
      <c r="O80" s="627" t="n">
        <v>1500</v>
      </c>
      <c r="Q80" s="767" t="n"/>
      <c r="R80" s="767" t="n"/>
      <c r="S80" s="768" t="n"/>
    </row>
    <row r="81" ht="18" customHeight="1" s="562">
      <c r="A81" s="628" t="n"/>
      <c r="B81" s="766" t="n"/>
      <c r="C81" s="627" t="n"/>
      <c r="E81" s="628" t="n"/>
      <c r="F81" s="766" t="n"/>
      <c r="G81" s="627" t="n"/>
      <c r="I81" s="628" t="n"/>
      <c r="J81" s="766" t="n"/>
      <c r="K81" s="627" t="n"/>
      <c r="M81" s="628" t="n"/>
      <c r="N81" s="766" t="n"/>
      <c r="O81" s="627" t="n"/>
      <c r="Q81" s="767" t="n"/>
      <c r="R81" s="767" t="n"/>
      <c r="S81" s="768" t="n"/>
    </row>
    <row r="82" ht="18" customHeight="1" s="562">
      <c r="A82" s="628" t="n"/>
      <c r="B82" s="626" t="n"/>
      <c r="C82" s="627" t="n"/>
      <c r="E82" s="628" t="n"/>
      <c r="F82" s="626" t="n"/>
      <c r="G82" s="627" t="n"/>
      <c r="I82" s="628" t="n"/>
      <c r="J82" s="626" t="n"/>
      <c r="K82" s="627" t="n"/>
      <c r="M82" s="628" t="n"/>
      <c r="N82" s="626" t="n"/>
      <c r="O82" s="627" t="n"/>
      <c r="Q82" s="767" t="n"/>
      <c r="R82" s="767" t="n"/>
      <c r="S82" s="768" t="n"/>
    </row>
    <row r="83" ht="18.75" customHeight="1" s="562">
      <c r="A83" s="628" t="n"/>
      <c r="B83" s="626" t="n"/>
      <c r="C83" s="624" t="n"/>
      <c r="E83" s="628" t="n"/>
      <c r="F83" s="626" t="n"/>
      <c r="G83" s="624" t="n"/>
      <c r="I83" s="628" t="n"/>
      <c r="J83" s="626" t="n"/>
      <c r="K83" s="624" t="n"/>
      <c r="M83" s="628" t="n"/>
      <c r="N83" s="626" t="n"/>
      <c r="O83" s="624" t="n"/>
      <c r="Q83" s="767" t="n"/>
      <c r="R83" s="767" t="n"/>
      <c r="S83" s="768" t="n"/>
    </row>
    <row r="84" ht="18.75" customHeight="1" s="562">
      <c r="A84" s="622" t="n"/>
      <c r="B84" s="623" t="n"/>
      <c r="C84" s="631">
        <f>SUM(C80:C83)</f>
        <v/>
      </c>
      <c r="E84" s="622" t="n"/>
      <c r="F84" s="623" t="n"/>
      <c r="G84" s="631">
        <f>SUM(G80:G83)</f>
        <v/>
      </c>
      <c r="I84" s="622" t="n"/>
      <c r="J84" s="623" t="n"/>
      <c r="K84" s="631">
        <f>SUM(K80:K83)</f>
        <v/>
      </c>
      <c r="M84" s="622" t="n"/>
      <c r="N84" s="623" t="n"/>
      <c r="O84" s="631">
        <f>SUM(O80:O83)</f>
        <v/>
      </c>
      <c r="Q84" s="767" t="n"/>
      <c r="R84" s="767" t="n"/>
      <c r="S84" s="768" t="n"/>
    </row>
    <row r="85" ht="18.75" customHeight="1" s="562">
      <c r="A85" s="643" t="inlineStr">
        <is>
          <t xml:space="preserve">Expenses </t>
        </is>
      </c>
      <c r="B85" s="617" t="n"/>
      <c r="C85" s="618" t="n"/>
      <c r="E85" s="643" t="inlineStr">
        <is>
          <t xml:space="preserve">Expenses </t>
        </is>
      </c>
      <c r="F85" s="617" t="n"/>
      <c r="G85" s="618" t="n"/>
      <c r="I85" s="643" t="inlineStr">
        <is>
          <t xml:space="preserve">Expenses </t>
        </is>
      </c>
      <c r="J85" s="617" t="n"/>
      <c r="K85" s="618" t="n"/>
      <c r="M85" s="643" t="inlineStr">
        <is>
          <t xml:space="preserve">Expenses </t>
        </is>
      </c>
      <c r="N85" s="617" t="n"/>
      <c r="O85" s="618" t="n"/>
      <c r="Q85" s="767" t="n"/>
      <c r="R85" s="767" t="n"/>
      <c r="S85" s="768" t="n"/>
    </row>
    <row r="86" ht="18" customHeight="1" s="562">
      <c r="A86" s="622" t="inlineStr">
        <is>
          <t>Date:</t>
        </is>
      </c>
      <c r="B86" s="623" t="inlineStr">
        <is>
          <t xml:space="preserve">Expense Name </t>
        </is>
      </c>
      <c r="C86" s="624" t="inlineStr">
        <is>
          <t xml:space="preserve">Amount </t>
        </is>
      </c>
      <c r="E86" s="622" t="inlineStr">
        <is>
          <t>Date:</t>
        </is>
      </c>
      <c r="F86" s="623" t="inlineStr">
        <is>
          <t xml:space="preserve">Expense Name </t>
        </is>
      </c>
      <c r="G86" s="624" t="inlineStr">
        <is>
          <t xml:space="preserve">Amount </t>
        </is>
      </c>
      <c r="I86" s="622" t="inlineStr">
        <is>
          <t>Date:</t>
        </is>
      </c>
      <c r="J86" s="623" t="inlineStr">
        <is>
          <t xml:space="preserve">Expense Name </t>
        </is>
      </c>
      <c r="K86" s="624" t="inlineStr">
        <is>
          <t xml:space="preserve">Amount </t>
        </is>
      </c>
      <c r="M86" s="622" t="inlineStr">
        <is>
          <t>Date:</t>
        </is>
      </c>
      <c r="N86" s="623" t="inlineStr">
        <is>
          <t xml:space="preserve">Expense Name </t>
        </is>
      </c>
      <c r="O86" s="624" t="inlineStr">
        <is>
          <t xml:space="preserve">Amount </t>
        </is>
      </c>
      <c r="Q86" s="767" t="n"/>
      <c r="R86" s="767" t="n"/>
      <c r="S86" s="768" t="n"/>
    </row>
    <row r="87" ht="18" customHeight="1" s="562">
      <c r="A87" s="628" t="n"/>
      <c r="B87" s="623" t="inlineStr">
        <is>
          <t>Marion</t>
        </is>
      </c>
      <c r="C87" s="624" t="n">
        <v>450</v>
      </c>
      <c r="E87" s="628" t="n"/>
      <c r="F87" s="623" t="inlineStr">
        <is>
          <t>Merriam</t>
        </is>
      </c>
      <c r="G87" s="624" t="n">
        <v>7000</v>
      </c>
      <c r="I87" s="628" t="n"/>
      <c r="J87" s="623" t="inlineStr">
        <is>
          <t xml:space="preserve">Jane </t>
        </is>
      </c>
      <c r="K87" s="624" t="n">
        <v>1350</v>
      </c>
      <c r="M87" s="628" t="n"/>
      <c r="N87" s="623" t="inlineStr">
        <is>
          <t>Marion</t>
        </is>
      </c>
      <c r="O87" s="624" t="n">
        <v>600</v>
      </c>
      <c r="Q87" s="767" t="n"/>
      <c r="R87" s="767" t="n"/>
      <c r="S87" s="768" t="n"/>
    </row>
    <row r="88" ht="18" customHeight="1" s="562">
      <c r="A88" s="628" t="n"/>
      <c r="B88" s="623" t="n"/>
      <c r="C88" s="624" t="n"/>
      <c r="E88" s="628" t="n"/>
      <c r="F88" s="623" t="n"/>
      <c r="G88" s="624" t="n"/>
      <c r="I88" s="628" t="n"/>
      <c r="J88" s="623" t="n"/>
      <c r="K88" s="624" t="n"/>
      <c r="M88" s="628" t="n"/>
      <c r="N88" s="623" t="n"/>
      <c r="O88" s="624" t="n"/>
      <c r="Q88" s="767" t="n"/>
      <c r="R88" s="767" t="n"/>
      <c r="S88" s="768" t="n"/>
    </row>
    <row r="89" ht="18" customHeight="1" s="562">
      <c r="A89" s="628" t="n"/>
      <c r="B89" s="623" t="n"/>
      <c r="C89" s="624" t="n"/>
      <c r="E89" s="628" t="n"/>
      <c r="F89" s="623" t="n"/>
      <c r="G89" s="624" t="n"/>
      <c r="I89" s="628" t="n"/>
      <c r="J89" s="623" t="n"/>
      <c r="K89" s="624" t="n"/>
      <c r="M89" s="628" t="n"/>
      <c r="N89" s="623" t="n"/>
      <c r="O89" s="624" t="n"/>
      <c r="Q89" s="767" t="n"/>
      <c r="R89" s="767" t="n"/>
      <c r="S89" s="768" t="n"/>
    </row>
    <row r="90" ht="18" customHeight="1" s="562">
      <c r="A90" s="622" t="n"/>
      <c r="B90" s="623" t="n"/>
      <c r="C90" s="624" t="n"/>
      <c r="E90" s="622" t="n"/>
      <c r="F90" s="623" t="n"/>
      <c r="G90" s="624" t="n"/>
      <c r="I90" s="622" t="n"/>
      <c r="J90" s="623" t="n"/>
      <c r="K90" s="624" t="n"/>
      <c r="M90" s="622" t="n"/>
      <c r="N90" s="623" t="n"/>
      <c r="O90" s="624" t="n"/>
      <c r="Q90" s="767" t="n"/>
      <c r="R90" s="767" t="n"/>
      <c r="S90" s="768" t="n"/>
    </row>
    <row r="91" ht="18" customHeight="1" s="562">
      <c r="A91" s="622" t="n"/>
      <c r="B91" s="623" t="n"/>
      <c r="C91" s="624" t="n"/>
      <c r="E91" s="622" t="n"/>
      <c r="F91" s="623" t="n"/>
      <c r="G91" s="624" t="n"/>
      <c r="I91" s="622" t="n"/>
      <c r="J91" s="623" t="n"/>
      <c r="K91" s="624" t="n"/>
      <c r="M91" s="622" t="n"/>
      <c r="N91" s="623" t="n"/>
      <c r="O91" s="624" t="n"/>
      <c r="Q91" s="767" t="n"/>
      <c r="R91" s="767" t="n"/>
      <c r="S91" s="768" t="n"/>
    </row>
    <row r="92" ht="18" customHeight="1" s="562">
      <c r="A92" s="622" t="n"/>
      <c r="B92" s="623" t="n"/>
      <c r="C92" s="624" t="n"/>
      <c r="E92" s="622" t="n"/>
      <c r="F92" s="623" t="n"/>
      <c r="G92" s="624" t="n"/>
      <c r="I92" s="622" t="n"/>
      <c r="J92" s="623" t="n"/>
      <c r="K92" s="624" t="n"/>
      <c r="M92" s="622" t="n"/>
      <c r="N92" s="623" t="n"/>
      <c r="O92" s="624" t="n"/>
      <c r="Q92" s="767" t="n"/>
      <c r="R92" s="767" t="n"/>
      <c r="S92" s="768" t="n"/>
    </row>
    <row r="93" ht="18" customHeight="1" s="562">
      <c r="A93" s="622" t="n"/>
      <c r="B93" s="623" t="n"/>
      <c r="C93" s="624" t="n"/>
      <c r="E93" s="622" t="n"/>
      <c r="F93" s="623" t="n"/>
      <c r="G93" s="624" t="n"/>
      <c r="I93" s="622" t="n"/>
      <c r="J93" s="623" t="n"/>
      <c r="K93" s="624" t="n"/>
      <c r="M93" s="622" t="n"/>
      <c r="N93" s="623" t="n"/>
      <c r="O93" s="624" t="n"/>
      <c r="Q93" s="767" t="n"/>
      <c r="R93" s="767" t="n"/>
      <c r="S93" s="768" t="n"/>
    </row>
    <row r="94" ht="18" customHeight="1" s="562">
      <c r="A94" s="622" t="n"/>
      <c r="B94" s="623" t="n"/>
      <c r="C94" s="624" t="n"/>
      <c r="E94" s="622" t="n"/>
      <c r="F94" s="623" t="n"/>
      <c r="G94" s="624" t="n"/>
      <c r="I94" s="622" t="n"/>
      <c r="J94" s="623" t="n"/>
      <c r="K94" s="624" t="n"/>
      <c r="M94" s="622" t="n"/>
      <c r="N94" s="623" t="n"/>
      <c r="O94" s="624" t="n"/>
      <c r="Q94" s="767" t="n"/>
      <c r="R94" s="767" t="n"/>
      <c r="S94" s="768" t="n"/>
    </row>
    <row r="95" ht="18" customHeight="1" s="562">
      <c r="A95" s="622" t="n"/>
      <c r="B95" s="623" t="n"/>
      <c r="C95" s="624" t="n"/>
      <c r="E95" s="622" t="n"/>
      <c r="F95" s="623" t="n"/>
      <c r="G95" s="624" t="n"/>
      <c r="I95" s="622" t="n"/>
      <c r="J95" s="623" t="n"/>
      <c r="K95" s="624" t="n"/>
      <c r="M95" s="622" t="n"/>
      <c r="N95" s="623" t="n"/>
      <c r="O95" s="624" t="n"/>
      <c r="Q95" s="767" t="n"/>
      <c r="R95" s="767" t="n"/>
      <c r="S95" s="768" t="n"/>
    </row>
    <row r="96" ht="18" customHeight="1" s="562">
      <c r="A96" s="622" t="n"/>
      <c r="B96" s="623" t="n"/>
      <c r="C96" s="624" t="n"/>
      <c r="E96" s="622" t="n"/>
      <c r="F96" s="623" t="n"/>
      <c r="G96" s="624" t="n"/>
      <c r="I96" s="622" t="n"/>
      <c r="J96" s="623" t="n"/>
      <c r="K96" s="624" t="n"/>
      <c r="M96" s="622" t="n"/>
      <c r="N96" s="623" t="n"/>
      <c r="O96" s="624" t="n"/>
      <c r="Q96" s="767" t="n"/>
      <c r="R96" s="767" t="n"/>
      <c r="S96" s="768" t="n"/>
    </row>
    <row r="97" ht="18" customHeight="1" s="562">
      <c r="A97" s="622" t="n"/>
      <c r="B97" s="623" t="n"/>
      <c r="C97" s="624" t="n"/>
      <c r="E97" s="622" t="n"/>
      <c r="F97" s="623" t="n"/>
      <c r="G97" s="624" t="n"/>
      <c r="I97" s="622" t="n"/>
      <c r="J97" s="623" t="n"/>
      <c r="K97" s="624" t="n"/>
      <c r="M97" s="622" t="n"/>
      <c r="N97" s="623" t="n"/>
      <c r="O97" s="624" t="n"/>
      <c r="Q97" s="767" t="n"/>
      <c r="R97" s="767" t="n"/>
      <c r="S97" s="768" t="n"/>
    </row>
    <row r="98" ht="18.75" customHeight="1" s="562">
      <c r="A98" s="622" t="n"/>
      <c r="B98" s="623" t="n"/>
      <c r="C98" s="624" t="n"/>
      <c r="E98" s="622" t="n"/>
      <c r="F98" s="623" t="n"/>
      <c r="G98" s="624" t="n"/>
      <c r="I98" s="622" t="n"/>
      <c r="J98" s="623" t="n"/>
      <c r="K98" s="624" t="n"/>
      <c r="M98" s="622" t="n"/>
      <c r="N98" s="623" t="n"/>
      <c r="O98" s="624" t="n"/>
      <c r="Q98" s="767" t="n"/>
      <c r="R98" s="767" t="n"/>
      <c r="S98" s="768" t="n"/>
    </row>
    <row r="99" ht="18.75" customHeight="1" s="562">
      <c r="A99" s="644" t="inlineStr">
        <is>
          <t xml:space="preserve">Total Expense </t>
        </is>
      </c>
      <c r="B99" s="637" t="n"/>
      <c r="C99" s="645">
        <f>SUM(C87:C92)</f>
        <v/>
      </c>
      <c r="E99" s="644" t="inlineStr">
        <is>
          <t xml:space="preserve">Total Expense </t>
        </is>
      </c>
      <c r="F99" s="637" t="n"/>
      <c r="G99" s="645">
        <f>SUM(G87:G90)</f>
        <v/>
      </c>
      <c r="I99" s="644" t="inlineStr">
        <is>
          <t xml:space="preserve">Total Expense </t>
        </is>
      </c>
      <c r="J99" s="637" t="n"/>
      <c r="K99" s="645">
        <f>SUM(K87:K91)</f>
        <v/>
      </c>
      <c r="M99" s="644" t="inlineStr">
        <is>
          <t xml:space="preserve">Total Expense </t>
        </is>
      </c>
      <c r="N99" s="637" t="n"/>
      <c r="O99" s="645">
        <f>SUM(O87:O91)</f>
        <v/>
      </c>
    </row>
    <row r="100" ht="18.75" customHeight="1" s="562">
      <c r="A100" s="646" t="inlineStr">
        <is>
          <t xml:space="preserve">Income - Expense </t>
        </is>
      </c>
      <c r="B100" s="637" t="n"/>
      <c r="C100" s="647">
        <f>MIN(C84-C99)</f>
        <v/>
      </c>
      <c r="E100" s="646" t="inlineStr">
        <is>
          <t xml:space="preserve">Income - Expense </t>
        </is>
      </c>
      <c r="F100" s="637" t="n"/>
      <c r="G100" s="647">
        <f>MIN(G84-G99)</f>
        <v/>
      </c>
      <c r="I100" s="646" t="inlineStr">
        <is>
          <t xml:space="preserve">Income - Expense </t>
        </is>
      </c>
      <c r="J100" s="637" t="n"/>
      <c r="K100" s="647">
        <f>MIN(K84-K99)</f>
        <v/>
      </c>
      <c r="M100" s="646" t="inlineStr">
        <is>
          <t xml:space="preserve">Income - Expense </t>
        </is>
      </c>
      <c r="N100" s="637" t="n"/>
      <c r="O100" s="647">
        <f>MIN(O84-O99)</f>
        <v/>
      </c>
    </row>
    <row r="101" ht="18.75" customHeight="1" s="562">
      <c r="A101" s="769" t="n"/>
      <c r="B101" s="770" t="n"/>
      <c r="C101" s="770" t="n"/>
    </row>
    <row r="102" ht="24.75" customHeight="1" s="562">
      <c r="A102" s="648" t="inlineStr">
        <is>
          <t xml:space="preserve">Total from Clients </t>
        </is>
      </c>
      <c r="B102" s="649">
        <f>SUM(C8+G8+K8+O8+S8+C34+G34+K34+O34+S34+C59+G59+K59+O59+C84+G84+K84+O84+S59)</f>
        <v/>
      </c>
      <c r="F102" s="592" t="n"/>
      <c r="J102" s="623" t="n"/>
      <c r="K102" s="623" t="n"/>
      <c r="L102" s="626" t="n"/>
    </row>
    <row r="103" ht="18.75" customHeight="1" s="562">
      <c r="J103" s="771" t="n"/>
      <c r="K103" s="771" t="n"/>
      <c r="L103" s="768" t="n"/>
    </row>
    <row r="104" ht="18.75" customHeight="1" s="562">
      <c r="A104" s="772" t="inlineStr">
        <is>
          <t xml:space="preserve">Income - Expense </t>
        </is>
      </c>
      <c r="B104" s="773">
        <f>SUM(C24+G24+K24+O24+S24+C50+G50+K50+O50+S50+C75+G75+K75+O75+S75+C100+G100+K100+O100)</f>
        <v/>
      </c>
    </row>
  </sheetData>
  <mergeCells count="95">
    <mergeCell ref="E23:F23"/>
    <mergeCell ref="A26:C26"/>
    <mergeCell ref="A99:B99"/>
    <mergeCell ref="E26:G26"/>
    <mergeCell ref="A74:B74"/>
    <mergeCell ref="M99:N99"/>
    <mergeCell ref="M74:N74"/>
    <mergeCell ref="A52:C52"/>
    <mergeCell ref="E99:F99"/>
    <mergeCell ref="E49:F49"/>
    <mergeCell ref="M53:O53"/>
    <mergeCell ref="Q74:R74"/>
    <mergeCell ref="Q49:R49"/>
    <mergeCell ref="A77:C77"/>
    <mergeCell ref="M100:N100"/>
    <mergeCell ref="I2:K2"/>
    <mergeCell ref="E100:F100"/>
    <mergeCell ref="M52:O52"/>
    <mergeCell ref="M9:O9"/>
    <mergeCell ref="E75:F75"/>
    <mergeCell ref="E35:G35"/>
    <mergeCell ref="M50:N50"/>
    <mergeCell ref="Q75:R75"/>
    <mergeCell ref="M2:O2"/>
    <mergeCell ref="E60:G60"/>
    <mergeCell ref="E78:G78"/>
    <mergeCell ref="Q60:S60"/>
    <mergeCell ref="E77:G77"/>
    <mergeCell ref="Q23:R23"/>
    <mergeCell ref="I1:K1"/>
    <mergeCell ref="M26:O26"/>
    <mergeCell ref="I78:K78"/>
    <mergeCell ref="I24:J24"/>
    <mergeCell ref="A100:B100"/>
    <mergeCell ref="M24:N24"/>
    <mergeCell ref="A60:C60"/>
    <mergeCell ref="I27:K27"/>
    <mergeCell ref="I99:J99"/>
    <mergeCell ref="M35:O35"/>
    <mergeCell ref="I74:J74"/>
    <mergeCell ref="E1:G1"/>
    <mergeCell ref="I85:K85"/>
    <mergeCell ref="E50:F50"/>
    <mergeCell ref="A49:B49"/>
    <mergeCell ref="Q35:S35"/>
    <mergeCell ref="I53:K53"/>
    <mergeCell ref="E9:G9"/>
    <mergeCell ref="M49:N49"/>
    <mergeCell ref="A2:C2"/>
    <mergeCell ref="E2:G2"/>
    <mergeCell ref="M77:O77"/>
    <mergeCell ref="I52:K52"/>
    <mergeCell ref="M85:O85"/>
    <mergeCell ref="Q27:S27"/>
    <mergeCell ref="A75:B75"/>
    <mergeCell ref="M75:N75"/>
    <mergeCell ref="I23:J23"/>
    <mergeCell ref="A23:B23"/>
    <mergeCell ref="M23:N23"/>
    <mergeCell ref="I26:K26"/>
    <mergeCell ref="I50:J50"/>
    <mergeCell ref="M60:O60"/>
    <mergeCell ref="A24:B24"/>
    <mergeCell ref="E24:F24"/>
    <mergeCell ref="I49:J49"/>
    <mergeCell ref="Q26:S26"/>
    <mergeCell ref="Q24:R24"/>
    <mergeCell ref="A27:C27"/>
    <mergeCell ref="Q1:S1"/>
    <mergeCell ref="M27:O27"/>
    <mergeCell ref="A85:C85"/>
    <mergeCell ref="I100:J100"/>
    <mergeCell ref="E27:G27"/>
    <mergeCell ref="Q9:S9"/>
    <mergeCell ref="I75:J75"/>
    <mergeCell ref="I35:K35"/>
    <mergeCell ref="Q50:R50"/>
    <mergeCell ref="A53:C53"/>
    <mergeCell ref="A35:C35"/>
    <mergeCell ref="E74:F74"/>
    <mergeCell ref="Q2:S2"/>
    <mergeCell ref="A50:B50"/>
    <mergeCell ref="E85:G85"/>
    <mergeCell ref="I60:K60"/>
    <mergeCell ref="E53:G53"/>
    <mergeCell ref="I9:K9"/>
    <mergeCell ref="A9:C9"/>
    <mergeCell ref="Q53:S53"/>
    <mergeCell ref="I77:K77"/>
    <mergeCell ref="E52:G52"/>
    <mergeCell ref="A1:C1"/>
    <mergeCell ref="Q52:S52"/>
    <mergeCell ref="M1:O1"/>
    <mergeCell ref="A78:C78"/>
    <mergeCell ref="M78:O7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X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Q34" activePane="bottomRight" state="frozen"/>
      <selection pane="topLeft" activeCell="A1" activeCellId="0" sqref="A1"/>
      <selection pane="topRight" activeCell="Q1" activeCellId="0" sqref="Q1"/>
      <selection pane="bottomLeft" activeCell="A34" activeCellId="0" sqref="A34"/>
      <selection pane="bottomRight" activeCell="O30" activeCellId="0" sqref="O30"/>
    </sheetView>
  </sheetViews>
  <sheetFormatPr baseColWidth="8" defaultColWidth="10.4921875" defaultRowHeight="15.75" customHeight="0" zeroHeight="0" outlineLevelRow="0"/>
  <cols>
    <col width="21" customWidth="1" style="561" min="1" max="1"/>
    <col width="19.67" customWidth="1" style="561" min="2" max="2"/>
    <col width="28.83" customWidth="1" style="561" min="3" max="3"/>
    <col width="18.16" customWidth="1" style="561" min="4" max="4"/>
    <col width="28.83" customWidth="1" style="561" min="5" max="5"/>
    <col width="19.33" customWidth="1" style="561" min="6" max="6"/>
    <col width="24.16" customWidth="1" style="561" min="7" max="7"/>
    <col width="15.83" customWidth="1" style="561" min="8" max="8"/>
    <col width="25.16" customWidth="1" style="561" min="9" max="9"/>
    <col width="20.5" customWidth="1" style="561" min="10" max="10"/>
    <col width="18.5" customWidth="1" style="561" min="11" max="11"/>
    <col width="24.5" customWidth="1" style="561" min="12" max="12"/>
    <col width="21.5" customWidth="1" style="561" min="13" max="13"/>
    <col width="23.83" customWidth="1" style="561" min="14" max="14"/>
    <col width="33" customWidth="1" style="561" min="15" max="15"/>
    <col width="16.67" customWidth="1" style="561" min="16" max="16"/>
    <col width="39" customWidth="1" style="561" min="17" max="17"/>
    <col width="34.67" customWidth="1" style="561" min="18" max="18"/>
    <col width="24.67" customWidth="1" style="561" min="19" max="19"/>
    <col width="40" customWidth="1" style="561" min="20" max="20"/>
    <col width="35.5" customWidth="1" style="561" min="21" max="21"/>
    <col width="20" customWidth="1" style="610" min="22" max="22"/>
    <col width="22.5" customWidth="1" style="561" min="23" max="23"/>
    <col width="32.16" customWidth="1" style="561" min="24" max="24"/>
  </cols>
  <sheetData>
    <row r="1" ht="21" customHeight="1" s="562">
      <c r="C1" s="654" t="inlineStr">
        <is>
          <t>Linda Rapuluchukwa</t>
        </is>
      </c>
      <c r="D1" s="654" t="inlineStr">
        <is>
          <t>Sophie Koga</t>
        </is>
      </c>
      <c r="E1" s="654" t="inlineStr">
        <is>
          <t>Joyce Mutambiranwa</t>
        </is>
      </c>
      <c r="F1" s="654" t="inlineStr">
        <is>
          <t>Emily Mentula</t>
        </is>
      </c>
      <c r="G1" s="654" t="inlineStr">
        <is>
          <t>Cynthia Makondo</t>
        </is>
      </c>
      <c r="H1" s="655" t="inlineStr">
        <is>
          <t>Ruth Nnadi</t>
        </is>
      </c>
      <c r="I1" s="654" t="inlineStr">
        <is>
          <t>Christina Maluleka</t>
        </is>
      </c>
      <c r="J1" s="654" t="inlineStr">
        <is>
          <t>Mzee Mzwakhe</t>
        </is>
      </c>
      <c r="K1" s="654" t="inlineStr">
        <is>
          <t>Susan Murire</t>
        </is>
      </c>
      <c r="L1" s="654" t="inlineStr">
        <is>
          <t>Ndai Mapenyenye</t>
        </is>
      </c>
      <c r="M1" s="654" t="inlineStr">
        <is>
          <t>Adaobi Ejikeme</t>
        </is>
      </c>
      <c r="N1" s="654" t="inlineStr">
        <is>
          <t>Merriam Maluleke</t>
        </is>
      </c>
      <c r="O1" s="654" t="inlineStr">
        <is>
          <t>Jane Mokgaetsi Moekwa</t>
        </is>
      </c>
      <c r="P1" s="654" t="inlineStr">
        <is>
          <t>Sylvia Nene</t>
        </is>
      </c>
      <c r="Q1" s="654" t="inlineStr">
        <is>
          <t>Matodzi Sylvia Mutavhatsindi</t>
        </is>
      </c>
      <c r="R1" s="654" t="inlineStr">
        <is>
          <t>Siphilisiwe Nkala(Patricia)</t>
        </is>
      </c>
      <c r="S1" s="654" t="inlineStr">
        <is>
          <t>Refiloe Khuzwayo</t>
        </is>
      </c>
      <c r="T1" s="654" t="inlineStr">
        <is>
          <t>Mmamaswabi Emma Dhlamini</t>
        </is>
      </c>
      <c r="U1" s="654" t="inlineStr">
        <is>
          <t xml:space="preserve">Tracy Nothando Nyirenda </t>
        </is>
      </c>
      <c r="V1" s="654" t="inlineStr">
        <is>
          <t xml:space="preserve">Marion Goeda </t>
        </is>
      </c>
      <c r="W1" s="654" t="inlineStr">
        <is>
          <t>Rebecca Samba</t>
        </is>
      </c>
      <c r="X1" s="654" t="inlineStr">
        <is>
          <t>Siphethokhuhle Nkomo</t>
        </is>
      </c>
    </row>
    <row r="2" ht="19.5" customFormat="1" customHeight="1" s="774">
      <c r="A2" s="657" t="n"/>
      <c r="B2" s="658" t="inlineStr">
        <is>
          <t>Caregiver Price</t>
        </is>
      </c>
      <c r="C2" s="660" t="n">
        <v>600</v>
      </c>
      <c r="D2" s="659" t="n">
        <v>450</v>
      </c>
      <c r="E2" s="659" t="n">
        <v>450</v>
      </c>
      <c r="F2" s="659" t="n">
        <v>450</v>
      </c>
      <c r="G2" s="660" t="n">
        <v>350</v>
      </c>
      <c r="H2" s="659" t="n">
        <v>450</v>
      </c>
      <c r="I2" s="660" t="n">
        <v>450</v>
      </c>
      <c r="J2" s="660" t="n"/>
      <c r="K2" s="660" t="n">
        <v>450</v>
      </c>
      <c r="L2" s="659" t="n"/>
      <c r="M2" s="660" t="n">
        <v>450</v>
      </c>
      <c r="N2" s="660" t="n">
        <v>334</v>
      </c>
      <c r="O2" s="660" t="n">
        <v>450</v>
      </c>
      <c r="P2" s="660" t="n">
        <v>305</v>
      </c>
      <c r="Q2" s="660" t="n">
        <v>450</v>
      </c>
      <c r="R2" s="659" t="n">
        <v>450</v>
      </c>
      <c r="S2" s="660" t="n">
        <v>450</v>
      </c>
      <c r="T2" s="660" t="n">
        <v>450</v>
      </c>
      <c r="U2" s="775" t="n">
        <v>450</v>
      </c>
      <c r="V2" s="660" t="n">
        <v>450</v>
      </c>
      <c r="W2" s="659" t="n">
        <v>450</v>
      </c>
      <c r="X2" s="659" t="n">
        <v>450</v>
      </c>
    </row>
    <row r="3" ht="21" customFormat="1" customHeight="1" s="661">
      <c r="A3" s="776" t="inlineStr">
        <is>
          <t xml:space="preserve">Date </t>
        </is>
      </c>
      <c r="B3" s="777" t="inlineStr">
        <is>
          <t>Days of  Week</t>
        </is>
      </c>
      <c r="C3" s="778" t="n"/>
      <c r="D3" s="778" t="n"/>
      <c r="E3" s="669" t="n"/>
      <c r="F3" s="669" t="n"/>
      <c r="G3" s="668" t="n"/>
      <c r="H3" s="669" t="n"/>
      <c r="I3" s="668" t="n"/>
      <c r="J3" s="779" t="n"/>
      <c r="K3" s="668" t="n"/>
      <c r="L3" s="670" t="n"/>
      <c r="M3" s="778" t="n"/>
      <c r="N3" s="778" t="n"/>
      <c r="O3" s="778" t="n"/>
      <c r="P3" s="778" t="n"/>
      <c r="Q3" s="778" t="n"/>
      <c r="R3" s="778" t="n"/>
      <c r="S3" s="778" t="n"/>
      <c r="T3" s="778" t="n"/>
      <c r="U3" s="778" t="n"/>
      <c r="V3" s="669" t="n"/>
      <c r="W3" s="780" t="n"/>
      <c r="X3" s="780" t="n"/>
    </row>
    <row r="4" ht="21" customHeight="1" s="562">
      <c r="A4" s="781" t="n">
        <v>45992</v>
      </c>
      <c r="B4" s="782" t="inlineStr">
        <is>
          <t>Monday</t>
        </is>
      </c>
      <c r="C4" s="783" t="inlineStr">
        <is>
          <t>Johnstons</t>
        </is>
      </c>
      <c r="D4" s="703" t="inlineStr">
        <is>
          <t xml:space="preserve">Androulla </t>
        </is>
      </c>
      <c r="E4" s="591" t="n"/>
      <c r="F4" s="676" t="n"/>
      <c r="G4" s="680" t="inlineStr">
        <is>
          <t xml:space="preserve">Hennie </t>
        </is>
      </c>
      <c r="H4" s="591" t="n"/>
      <c r="I4" s="703" t="inlineStr">
        <is>
          <t>Van Heerden</t>
        </is>
      </c>
      <c r="J4" s="784" t="inlineStr">
        <is>
          <t>Bierman</t>
        </is>
      </c>
      <c r="K4" s="679" t="n"/>
      <c r="L4" s="591" t="n"/>
      <c r="M4" s="676" t="n"/>
      <c r="N4" s="717" t="n"/>
      <c r="O4" s="785" t="inlineStr">
        <is>
          <t>Van Vuuren</t>
        </is>
      </c>
      <c r="P4" s="693" t="inlineStr">
        <is>
          <t xml:space="preserve">Roos </t>
        </is>
      </c>
      <c r="Q4" s="591" t="n"/>
      <c r="R4" s="786" t="inlineStr">
        <is>
          <t xml:space="preserve">Botes </t>
        </is>
      </c>
      <c r="S4" s="591" t="n"/>
      <c r="T4" s="787" t="inlineStr">
        <is>
          <t xml:space="preserve">Apie </t>
        </is>
      </c>
      <c r="U4" s="788" t="inlineStr">
        <is>
          <t>Hillery</t>
        </is>
      </c>
      <c r="V4" s="673" t="n"/>
      <c r="W4" s="789" t="n"/>
      <c r="X4" s="790" t="n"/>
    </row>
    <row r="5" ht="19.5" customHeight="1" s="562">
      <c r="A5" s="791" t="n">
        <v>45993</v>
      </c>
      <c r="B5" s="792" t="inlineStr">
        <is>
          <t>Tuesday</t>
        </is>
      </c>
      <c r="C5" s="793" t="inlineStr">
        <is>
          <t>Johnstons</t>
        </is>
      </c>
      <c r="D5" s="708" t="inlineStr">
        <is>
          <t xml:space="preserve">Androulla </t>
        </is>
      </c>
      <c r="E5" s="591" t="n"/>
      <c r="F5" s="700" t="inlineStr">
        <is>
          <t>Apie</t>
        </is>
      </c>
      <c r="G5" s="794" t="inlineStr">
        <is>
          <t xml:space="preserve">Hennie </t>
        </is>
      </c>
      <c r="H5" s="591" t="n"/>
      <c r="I5" s="708" t="inlineStr">
        <is>
          <t>Van Heerden</t>
        </is>
      </c>
      <c r="J5" s="701" t="inlineStr">
        <is>
          <t>Bierman</t>
        </is>
      </c>
      <c r="K5" s="679" t="n"/>
      <c r="L5" s="591" t="n"/>
      <c r="M5" s="676" t="n"/>
      <c r="N5" s="673" t="n"/>
      <c r="O5" s="591" t="n"/>
      <c r="P5" s="699" t="inlineStr">
        <is>
          <t xml:space="preserve">Roos </t>
        </is>
      </c>
      <c r="Q5" s="591" t="n"/>
      <c r="R5" s="677" t="inlineStr">
        <is>
          <t xml:space="preserve">Botes </t>
        </is>
      </c>
      <c r="S5" s="591" t="n"/>
      <c r="T5" s="676" t="n"/>
      <c r="U5" s="676" t="n"/>
      <c r="V5" s="673" t="n"/>
      <c r="W5" s="789" t="n"/>
      <c r="X5" s="795" t="n"/>
    </row>
    <row r="6" ht="21" customHeight="1" s="562">
      <c r="A6" s="791" t="n">
        <v>45994</v>
      </c>
      <c r="B6" s="792" t="inlineStr">
        <is>
          <t>Wednesday</t>
        </is>
      </c>
      <c r="C6" s="793" t="inlineStr">
        <is>
          <t>Johnstons</t>
        </is>
      </c>
      <c r="D6" s="708" t="inlineStr">
        <is>
          <t xml:space="preserve">Androulla </t>
        </is>
      </c>
      <c r="E6" s="591" t="n"/>
      <c r="F6" s="796" t="inlineStr">
        <is>
          <t>Apie</t>
        </is>
      </c>
      <c r="G6" s="794" t="inlineStr">
        <is>
          <t xml:space="preserve">Hennie </t>
        </is>
      </c>
      <c r="H6" s="591" t="n"/>
      <c r="I6" s="708" t="inlineStr">
        <is>
          <t>Van Heerden</t>
        </is>
      </c>
      <c r="J6" s="701" t="inlineStr">
        <is>
          <t>Bierman</t>
        </is>
      </c>
      <c r="K6" s="679" t="n"/>
      <c r="L6" s="591" t="n"/>
      <c r="M6" s="676" t="n"/>
      <c r="N6" s="673" t="n"/>
      <c r="O6" s="591" t="n"/>
      <c r="P6" s="699" t="inlineStr">
        <is>
          <t xml:space="preserve">Roos </t>
        </is>
      </c>
      <c r="Q6" s="591" t="n"/>
      <c r="R6" s="677" t="inlineStr">
        <is>
          <t xml:space="preserve">Botes </t>
        </is>
      </c>
      <c r="S6" s="591" t="n"/>
      <c r="T6" s="676" t="n"/>
      <c r="U6" s="676" t="n"/>
      <c r="V6" s="673" t="n"/>
      <c r="W6" s="789" t="n"/>
      <c r="X6" s="795" t="n"/>
    </row>
    <row r="7" ht="21" customHeight="1" s="562">
      <c r="A7" s="791" t="n">
        <v>45995</v>
      </c>
      <c r="B7" s="792" t="inlineStr">
        <is>
          <t>Thursday</t>
        </is>
      </c>
      <c r="C7" s="797" t="inlineStr">
        <is>
          <t>Johnstons</t>
        </is>
      </c>
      <c r="D7" s="708" t="inlineStr">
        <is>
          <t xml:space="preserve">Androulla </t>
        </is>
      </c>
      <c r="E7" s="591" t="n"/>
      <c r="F7" s="796" t="inlineStr">
        <is>
          <t>Apie</t>
        </is>
      </c>
      <c r="G7" s="794" t="inlineStr">
        <is>
          <t xml:space="preserve">Hennie </t>
        </is>
      </c>
      <c r="H7" s="798" t="inlineStr">
        <is>
          <t xml:space="preserve">Le Roux </t>
        </is>
      </c>
      <c r="I7" s="708" t="inlineStr">
        <is>
          <t>Van Heerden</t>
        </is>
      </c>
      <c r="J7" s="701" t="inlineStr">
        <is>
          <t>Bierman</t>
        </is>
      </c>
      <c r="K7" s="679" t="n"/>
      <c r="L7" s="591" t="n"/>
      <c r="M7" s="676" t="n"/>
      <c r="N7" s="673" t="n"/>
      <c r="O7" s="591" t="n"/>
      <c r="P7" s="699" t="inlineStr">
        <is>
          <t xml:space="preserve">Roos </t>
        </is>
      </c>
      <c r="Q7" s="591" t="n"/>
      <c r="R7" s="677" t="inlineStr">
        <is>
          <t xml:space="preserve">Botes </t>
        </is>
      </c>
      <c r="S7" s="591" t="n"/>
      <c r="T7" s="676" t="n"/>
      <c r="U7" s="676" t="n"/>
      <c r="V7" s="673" t="n"/>
      <c r="W7" s="789" t="n"/>
      <c r="X7" s="795" t="n"/>
    </row>
    <row r="8" ht="21" customHeight="1" s="562">
      <c r="A8" s="791" t="n">
        <v>45996</v>
      </c>
      <c r="B8" s="792" t="inlineStr">
        <is>
          <t>Friday</t>
        </is>
      </c>
      <c r="C8" s="676" t="n"/>
      <c r="D8" s="708" t="inlineStr">
        <is>
          <t xml:space="preserve">Androulla </t>
        </is>
      </c>
      <c r="E8" s="591" t="n"/>
      <c r="F8" s="796" t="inlineStr">
        <is>
          <t>Apie</t>
        </is>
      </c>
      <c r="G8" s="794" t="inlineStr">
        <is>
          <t xml:space="preserve">Hennie </t>
        </is>
      </c>
      <c r="H8" s="591" t="n"/>
      <c r="I8" s="708" t="inlineStr">
        <is>
          <t>Van Heerden</t>
        </is>
      </c>
      <c r="J8" s="705" t="inlineStr">
        <is>
          <t>Bierman</t>
        </is>
      </c>
      <c r="K8" s="679" t="n"/>
      <c r="L8" s="591" t="n"/>
      <c r="M8" s="783" t="inlineStr">
        <is>
          <t>Johnstons</t>
        </is>
      </c>
      <c r="N8" s="673" t="n"/>
      <c r="O8" s="591" t="n"/>
      <c r="P8" s="712" t="inlineStr">
        <is>
          <t xml:space="preserve">Roos </t>
        </is>
      </c>
      <c r="Q8" s="591" t="n"/>
      <c r="R8" s="799" t="inlineStr">
        <is>
          <t xml:space="preserve">Botes </t>
        </is>
      </c>
      <c r="S8" s="591" t="n"/>
      <c r="T8" s="676" t="n"/>
      <c r="U8" s="676" t="n"/>
      <c r="V8" s="673" t="n"/>
      <c r="W8" s="789" t="n"/>
      <c r="X8" s="795" t="n"/>
    </row>
    <row r="9" ht="21" customHeight="1" s="562">
      <c r="A9" s="791" t="n">
        <v>45997</v>
      </c>
      <c r="B9" s="792" t="inlineStr">
        <is>
          <t>Saturday</t>
        </is>
      </c>
      <c r="C9" s="676" t="n"/>
      <c r="D9" s="708" t="inlineStr">
        <is>
          <t xml:space="preserve">Androulla </t>
        </is>
      </c>
      <c r="E9" s="591" t="n"/>
      <c r="F9" s="796" t="inlineStr">
        <is>
          <t>Apie</t>
        </is>
      </c>
      <c r="G9" s="800" t="inlineStr">
        <is>
          <t xml:space="preserve">Hennie </t>
        </is>
      </c>
      <c r="H9" s="591" t="n"/>
      <c r="I9" s="708" t="inlineStr">
        <is>
          <t>Van Heerden</t>
        </is>
      </c>
      <c r="J9" s="591" t="n"/>
      <c r="K9" s="673" t="n"/>
      <c r="L9" s="591" t="n"/>
      <c r="M9" s="793" t="inlineStr">
        <is>
          <t>Johnstons</t>
        </is>
      </c>
      <c r="N9" s="673" t="n"/>
      <c r="O9" s="591" t="n"/>
      <c r="P9" s="676" t="n"/>
      <c r="Q9" s="676" t="n"/>
      <c r="R9" s="676" t="n"/>
      <c r="S9" s="676" t="n"/>
      <c r="T9" s="676" t="n"/>
      <c r="U9" s="676" t="n"/>
      <c r="V9" s="673" t="n"/>
      <c r="W9" s="789" t="n"/>
      <c r="X9" s="795" t="n"/>
    </row>
    <row r="10" ht="21" customHeight="1" s="562">
      <c r="A10" s="791" t="n">
        <v>45998</v>
      </c>
      <c r="B10" s="792" t="inlineStr">
        <is>
          <t>Sunday</t>
        </is>
      </c>
      <c r="C10" s="676" t="n"/>
      <c r="D10" s="708" t="inlineStr">
        <is>
          <t xml:space="preserve">Androulla </t>
        </is>
      </c>
      <c r="E10" s="591" t="n"/>
      <c r="F10" s="796" t="inlineStr">
        <is>
          <t>Apie</t>
        </is>
      </c>
      <c r="G10" s="679" t="n"/>
      <c r="H10" s="591" t="n"/>
      <c r="I10" s="708" t="inlineStr">
        <is>
          <t>Van Heerden</t>
        </is>
      </c>
      <c r="J10" s="591" t="n"/>
      <c r="K10" s="673" t="n"/>
      <c r="L10" s="591" t="n"/>
      <c r="M10" s="793" t="inlineStr">
        <is>
          <t>Johnstons</t>
        </is>
      </c>
      <c r="N10" s="673" t="n"/>
      <c r="O10" s="591" t="n"/>
      <c r="P10" s="676" t="n"/>
      <c r="Q10" s="676" t="n"/>
      <c r="R10" s="676" t="n"/>
      <c r="S10" s="676" t="n"/>
      <c r="T10" s="676" t="n"/>
      <c r="U10" s="788" t="inlineStr">
        <is>
          <t xml:space="preserve">Hillery </t>
        </is>
      </c>
      <c r="V10" s="673" t="n"/>
      <c r="W10" s="789" t="n"/>
      <c r="X10" s="795" t="n"/>
    </row>
    <row r="11" ht="19.5" customHeight="1" s="562">
      <c r="A11" s="791" t="n">
        <v>45999</v>
      </c>
      <c r="B11" s="792" t="inlineStr">
        <is>
          <t>Monday</t>
        </is>
      </c>
      <c r="C11" s="801" t="n"/>
      <c r="D11" s="708" t="inlineStr">
        <is>
          <t xml:space="preserve">Androulla </t>
        </is>
      </c>
      <c r="E11" s="591" t="n"/>
      <c r="F11" s="796" t="inlineStr">
        <is>
          <t>Apie</t>
        </is>
      </c>
      <c r="G11" s="802" t="inlineStr">
        <is>
          <t xml:space="preserve">Hennie </t>
        </is>
      </c>
      <c r="H11" s="591" t="n"/>
      <c r="I11" s="708" t="inlineStr">
        <is>
          <t>Van Heerden</t>
        </is>
      </c>
      <c r="J11" s="784" t="inlineStr">
        <is>
          <t>Bierman</t>
        </is>
      </c>
      <c r="K11" s="673" t="n"/>
      <c r="L11" s="591" t="n"/>
      <c r="M11" s="793" t="inlineStr">
        <is>
          <t>Johnstons</t>
        </is>
      </c>
      <c r="N11" s="673" t="n"/>
      <c r="O11" s="591" t="n"/>
      <c r="P11" s="693" t="inlineStr">
        <is>
          <t xml:space="preserve">Roos </t>
        </is>
      </c>
      <c r="Q11" s="676" t="n"/>
      <c r="R11" s="786" t="inlineStr">
        <is>
          <t xml:space="preserve">Botes </t>
        </is>
      </c>
      <c r="S11" s="680" t="inlineStr">
        <is>
          <t xml:space="preserve">Sui Fon </t>
        </is>
      </c>
      <c r="T11" s="591" t="n"/>
      <c r="U11" s="676" t="n"/>
      <c r="V11" s="673" t="n"/>
      <c r="W11" s="789" t="n"/>
      <c r="X11" s="795" t="n"/>
    </row>
    <row r="12" ht="21" customHeight="1" s="562">
      <c r="A12" s="791" t="n">
        <v>46000</v>
      </c>
      <c r="B12" s="792" t="inlineStr">
        <is>
          <t>Tuesday</t>
        </is>
      </c>
      <c r="C12" s="676" t="n"/>
      <c r="D12" s="708" t="inlineStr">
        <is>
          <t xml:space="preserve">Androulla </t>
        </is>
      </c>
      <c r="E12" s="591" t="n"/>
      <c r="F12" s="796" t="inlineStr">
        <is>
          <t>Apie</t>
        </is>
      </c>
      <c r="G12" s="794" t="inlineStr">
        <is>
          <t xml:space="preserve">Hennie </t>
        </is>
      </c>
      <c r="H12" s="591" t="n"/>
      <c r="I12" s="708" t="inlineStr">
        <is>
          <t>Van Heerden</t>
        </is>
      </c>
      <c r="J12" s="695" t="inlineStr">
        <is>
          <t>Bierman</t>
        </is>
      </c>
      <c r="K12" s="673" t="n"/>
      <c r="L12" s="591" t="n"/>
      <c r="M12" s="797" t="inlineStr">
        <is>
          <t>Johnstons</t>
        </is>
      </c>
      <c r="N12" s="673" t="n"/>
      <c r="O12" s="591" t="n"/>
      <c r="P12" s="699" t="inlineStr">
        <is>
          <t xml:space="preserve">Roos </t>
        </is>
      </c>
      <c r="Q12" s="676" t="n"/>
      <c r="R12" s="677" t="inlineStr">
        <is>
          <t xml:space="preserve">Botes </t>
        </is>
      </c>
      <c r="S12" s="694" t="inlineStr">
        <is>
          <t xml:space="preserve">Sui Fon </t>
        </is>
      </c>
      <c r="T12" s="591" t="n"/>
      <c r="U12" s="676" t="n"/>
      <c r="V12" s="673" t="n"/>
      <c r="W12" s="789" t="n"/>
      <c r="X12" s="795" t="n"/>
    </row>
    <row r="13" ht="21" customHeight="1" s="562">
      <c r="A13" s="791" t="n">
        <v>46001</v>
      </c>
      <c r="B13" s="792" t="inlineStr">
        <is>
          <t>Wednesday</t>
        </is>
      </c>
      <c r="C13" s="783" t="inlineStr">
        <is>
          <t>Johnstons</t>
        </is>
      </c>
      <c r="D13" s="708" t="inlineStr">
        <is>
          <t xml:space="preserve">Androulla </t>
        </is>
      </c>
      <c r="E13" s="591" t="n"/>
      <c r="F13" s="796" t="inlineStr">
        <is>
          <t>Apie</t>
        </is>
      </c>
      <c r="G13" s="803" t="inlineStr">
        <is>
          <t xml:space="preserve">Hennie </t>
        </is>
      </c>
      <c r="H13" s="674" t="inlineStr">
        <is>
          <t xml:space="preserve">Le Roux </t>
        </is>
      </c>
      <c r="I13" s="804" t="inlineStr">
        <is>
          <t>Van Heerden</t>
        </is>
      </c>
      <c r="J13" s="695" t="inlineStr">
        <is>
          <t>Bierman</t>
        </is>
      </c>
      <c r="K13" s="673" t="n"/>
      <c r="L13" s="591" t="n"/>
      <c r="M13" s="676" t="n"/>
      <c r="N13" s="673" t="n"/>
      <c r="O13" s="591" t="n"/>
      <c r="P13" s="699" t="inlineStr">
        <is>
          <t xml:space="preserve">Roos </t>
        </is>
      </c>
      <c r="Q13" s="676" t="n"/>
      <c r="R13" s="677" t="inlineStr">
        <is>
          <t xml:space="preserve">Botes </t>
        </is>
      </c>
      <c r="S13" s="694" t="inlineStr">
        <is>
          <t xml:space="preserve">Sui Fon </t>
        </is>
      </c>
      <c r="T13" s="591" t="n"/>
      <c r="U13" s="676" t="n"/>
      <c r="V13" s="786" t="inlineStr">
        <is>
          <t xml:space="preserve">Ras </t>
        </is>
      </c>
      <c r="W13" s="789" t="n"/>
      <c r="X13" s="795" t="n"/>
    </row>
    <row r="14" ht="21" customHeight="1" s="562">
      <c r="A14" s="791" t="n">
        <v>46002</v>
      </c>
      <c r="B14" s="792" t="inlineStr">
        <is>
          <t>Thursday</t>
        </is>
      </c>
      <c r="C14" s="793" t="inlineStr">
        <is>
          <t>Johnstons</t>
        </is>
      </c>
      <c r="D14" s="708" t="inlineStr">
        <is>
          <t xml:space="preserve">Androulla </t>
        </is>
      </c>
      <c r="E14" s="591" t="n"/>
      <c r="F14" s="805" t="inlineStr">
        <is>
          <t>Apie</t>
        </is>
      </c>
      <c r="G14" s="803" t="inlineStr">
        <is>
          <t xml:space="preserve">Hennie </t>
        </is>
      </c>
      <c r="H14" s="695" t="inlineStr">
        <is>
          <t xml:space="preserve">Le Roux </t>
        </is>
      </c>
      <c r="I14" s="804" t="inlineStr">
        <is>
          <t>Van Heerden</t>
        </is>
      </c>
      <c r="J14" s="695" t="inlineStr">
        <is>
          <t>Bierman</t>
        </is>
      </c>
      <c r="K14" s="673" t="n"/>
      <c r="L14" s="591" t="n"/>
      <c r="M14" s="676" t="n"/>
      <c r="N14" s="673" t="n"/>
      <c r="O14" s="591" t="n"/>
      <c r="P14" s="699" t="inlineStr">
        <is>
          <t xml:space="preserve">Roos </t>
        </is>
      </c>
      <c r="Q14" s="676" t="n"/>
      <c r="R14" s="677" t="inlineStr">
        <is>
          <t xml:space="preserve">Botes </t>
        </is>
      </c>
      <c r="S14" s="694" t="inlineStr">
        <is>
          <t xml:space="preserve">Sui Fon </t>
        </is>
      </c>
      <c r="T14" s="591" t="n"/>
      <c r="U14" s="676" t="n"/>
      <c r="V14" s="806" t="inlineStr">
        <is>
          <t xml:space="preserve">Ras </t>
        </is>
      </c>
      <c r="W14" s="710" t="inlineStr">
        <is>
          <t xml:space="preserve">Theron </t>
        </is>
      </c>
      <c r="X14" s="673" t="n"/>
    </row>
    <row r="15" ht="21" customHeight="1" s="562">
      <c r="A15" s="791" t="n">
        <v>46003</v>
      </c>
      <c r="B15" s="792" t="inlineStr">
        <is>
          <t>Friday</t>
        </is>
      </c>
      <c r="C15" s="793" t="inlineStr">
        <is>
          <t>Johnstons</t>
        </is>
      </c>
      <c r="D15" s="807" t="inlineStr">
        <is>
          <t xml:space="preserve">Androulla </t>
        </is>
      </c>
      <c r="E15" s="808" t="inlineStr">
        <is>
          <t>Patricia</t>
        </is>
      </c>
      <c r="F15" s="591" t="n"/>
      <c r="G15" s="720" t="inlineStr">
        <is>
          <t xml:space="preserve">Hennie </t>
        </is>
      </c>
      <c r="H15" s="695" t="inlineStr">
        <is>
          <t xml:space="preserve">Le Roux </t>
        </is>
      </c>
      <c r="I15" s="804" t="inlineStr">
        <is>
          <t>Van Heerden</t>
        </is>
      </c>
      <c r="J15" s="686" t="inlineStr">
        <is>
          <t>Bierman</t>
        </is>
      </c>
      <c r="K15" s="673" t="n"/>
      <c r="L15" s="591" t="n"/>
      <c r="M15" s="676" t="n"/>
      <c r="N15" s="673" t="n"/>
      <c r="O15" s="591" t="n"/>
      <c r="P15" s="712" t="inlineStr">
        <is>
          <t xml:space="preserve">Roos </t>
        </is>
      </c>
      <c r="Q15" s="676" t="n"/>
      <c r="R15" s="799" t="inlineStr">
        <is>
          <t xml:space="preserve">Botes </t>
        </is>
      </c>
      <c r="S15" s="694" t="inlineStr">
        <is>
          <t xml:space="preserve">Sui Fon </t>
        </is>
      </c>
      <c r="T15" s="809" t="inlineStr">
        <is>
          <t xml:space="preserve">Apie </t>
        </is>
      </c>
      <c r="U15" s="591" t="n"/>
      <c r="V15" s="676" t="n"/>
      <c r="W15" s="810" t="inlineStr">
        <is>
          <t xml:space="preserve">Theron </t>
        </is>
      </c>
      <c r="X15" s="673" t="n"/>
    </row>
    <row r="16" ht="21" customHeight="1" s="562">
      <c r="A16" s="791" t="n">
        <v>46004</v>
      </c>
      <c r="B16" s="792" t="inlineStr">
        <is>
          <t>Saturday</t>
        </is>
      </c>
      <c r="C16" s="793" t="inlineStr">
        <is>
          <t>Johnstons</t>
        </is>
      </c>
      <c r="D16" s="811" t="inlineStr">
        <is>
          <t xml:space="preserve">Androulla </t>
        </is>
      </c>
      <c r="E16" s="812" t="inlineStr">
        <is>
          <t>Patricia</t>
        </is>
      </c>
      <c r="F16" s="591" t="n"/>
      <c r="G16" s="745" t="inlineStr">
        <is>
          <t xml:space="preserve">Hennie </t>
        </is>
      </c>
      <c r="H16" s="695" t="inlineStr">
        <is>
          <t xml:space="preserve">Le Roux </t>
        </is>
      </c>
      <c r="I16" s="804" t="inlineStr">
        <is>
          <t>Van Heerden</t>
        </is>
      </c>
      <c r="J16" s="676" t="n"/>
      <c r="K16" s="673" t="n"/>
      <c r="L16" s="591" t="n"/>
      <c r="M16" s="676" t="n"/>
      <c r="N16" s="673" t="n"/>
      <c r="O16" s="591" t="n"/>
      <c r="P16" s="676" t="n"/>
      <c r="Q16" s="676" t="n"/>
      <c r="R16" s="717" t="n"/>
      <c r="S16" s="794" t="inlineStr">
        <is>
          <t xml:space="preserve">Sui Fon </t>
        </is>
      </c>
      <c r="T16" s="813" t="inlineStr">
        <is>
          <t xml:space="preserve">Apie </t>
        </is>
      </c>
      <c r="U16" s="814" t="inlineStr">
        <is>
          <t>Hillery</t>
        </is>
      </c>
      <c r="V16" s="676" t="n"/>
      <c r="W16" s="810" t="inlineStr">
        <is>
          <t xml:space="preserve">Theron </t>
        </is>
      </c>
      <c r="X16" s="673" t="n"/>
    </row>
    <row r="17" ht="21" customHeight="1" s="562">
      <c r="A17" s="791" t="n">
        <v>46005</v>
      </c>
      <c r="B17" s="792" t="inlineStr">
        <is>
          <t>Sunday</t>
        </is>
      </c>
      <c r="C17" s="815" t="inlineStr">
        <is>
          <t>Johnstons</t>
        </is>
      </c>
      <c r="D17" s="591" t="n"/>
      <c r="E17" s="812" t="inlineStr">
        <is>
          <t>Patricia</t>
        </is>
      </c>
      <c r="F17" s="591" t="n"/>
      <c r="G17" s="816" t="n"/>
      <c r="H17" s="695" t="inlineStr">
        <is>
          <t xml:space="preserve">Le Roux </t>
        </is>
      </c>
      <c r="I17" s="817" t="inlineStr">
        <is>
          <t>Van Heerden</t>
        </is>
      </c>
      <c r="J17" s="676" t="n"/>
      <c r="K17" s="673" t="n"/>
      <c r="L17" s="591" t="n"/>
      <c r="M17" s="676" t="n"/>
      <c r="N17" s="673" t="n"/>
      <c r="O17" s="591" t="n"/>
      <c r="P17" s="676" t="n"/>
      <c r="Q17" s="676" t="n"/>
      <c r="R17" s="746" t="n"/>
      <c r="S17" s="794" t="inlineStr">
        <is>
          <t xml:space="preserve">Sui Fon </t>
        </is>
      </c>
      <c r="T17" s="818" t="inlineStr">
        <is>
          <t xml:space="preserve">Apie </t>
        </is>
      </c>
      <c r="U17" s="819" t="inlineStr">
        <is>
          <t>Hillery</t>
        </is>
      </c>
      <c r="V17" s="676" t="n"/>
      <c r="W17" s="810" t="inlineStr">
        <is>
          <t xml:space="preserve">Theron </t>
        </is>
      </c>
      <c r="X17" s="673" t="n"/>
    </row>
    <row r="18" ht="21" customHeight="1" s="562">
      <c r="A18" s="791" t="n">
        <v>46006</v>
      </c>
      <c r="B18" s="792" t="inlineStr">
        <is>
          <t>Monday</t>
        </is>
      </c>
      <c r="C18" s="676" t="n"/>
      <c r="D18" s="676" t="n"/>
      <c r="E18" s="812" t="inlineStr">
        <is>
          <t>Patricia</t>
        </is>
      </c>
      <c r="F18" s="820" t="inlineStr">
        <is>
          <t xml:space="preserve">Apie </t>
        </is>
      </c>
      <c r="G18" s="676" t="n"/>
      <c r="H18" s="695" t="inlineStr">
        <is>
          <t xml:space="preserve">Le Roux </t>
        </is>
      </c>
      <c r="I18" s="591" t="n"/>
      <c r="J18" s="674" t="inlineStr">
        <is>
          <t>Bierman</t>
        </is>
      </c>
      <c r="K18" s="673" t="n"/>
      <c r="L18" s="591" t="n"/>
      <c r="M18" s="783" t="inlineStr">
        <is>
          <t xml:space="preserve">Johnstons </t>
        </is>
      </c>
      <c r="N18" s="673" t="n"/>
      <c r="O18" s="703" t="inlineStr">
        <is>
          <t>Van Heerden</t>
        </is>
      </c>
      <c r="P18" s="693" t="inlineStr">
        <is>
          <t xml:space="preserve">Roos </t>
        </is>
      </c>
      <c r="Q18" s="676" t="n"/>
      <c r="R18" s="821" t="inlineStr">
        <is>
          <t xml:space="preserve">Botes </t>
        </is>
      </c>
      <c r="S18" s="694" t="inlineStr">
        <is>
          <t xml:space="preserve">Sui Fon </t>
        </is>
      </c>
      <c r="T18" s="591" t="n"/>
      <c r="U18" s="717" t="n"/>
      <c r="V18" s="591" t="n"/>
      <c r="W18" s="810" t="inlineStr">
        <is>
          <t xml:space="preserve">Theron </t>
        </is>
      </c>
      <c r="X18" s="673" t="n"/>
    </row>
    <row r="19" ht="21" customHeight="1" s="562">
      <c r="A19" s="791" t="n">
        <v>46007</v>
      </c>
      <c r="B19" s="792" t="inlineStr">
        <is>
          <t>Tuesday</t>
        </is>
      </c>
      <c r="C19" s="676" t="n"/>
      <c r="D19" s="676" t="n"/>
      <c r="E19" s="812" t="inlineStr">
        <is>
          <t>Patricia</t>
        </is>
      </c>
      <c r="F19" s="813" t="inlineStr">
        <is>
          <t xml:space="preserve">Apie </t>
        </is>
      </c>
      <c r="G19" s="676" t="n"/>
      <c r="H19" s="695" t="inlineStr">
        <is>
          <t xml:space="preserve">Le Roux </t>
        </is>
      </c>
      <c r="I19" s="591" t="n"/>
      <c r="J19" s="695" t="inlineStr">
        <is>
          <t>Bierman</t>
        </is>
      </c>
      <c r="K19" s="673" t="n"/>
      <c r="L19" s="591" t="n"/>
      <c r="M19" s="793" t="inlineStr">
        <is>
          <t xml:space="preserve">Johnstons </t>
        </is>
      </c>
      <c r="N19" s="673" t="n"/>
      <c r="O19" s="708" t="inlineStr">
        <is>
          <t>Van Heerden</t>
        </is>
      </c>
      <c r="P19" s="699" t="inlineStr">
        <is>
          <t xml:space="preserve">Roos </t>
        </is>
      </c>
      <c r="Q19" s="676" t="n"/>
      <c r="R19" s="676" t="n"/>
      <c r="S19" s="694" t="inlineStr">
        <is>
          <t xml:space="preserve">Sui Fon </t>
        </is>
      </c>
      <c r="T19" s="591" t="n"/>
      <c r="U19" s="673" t="n"/>
      <c r="V19" s="591" t="n"/>
      <c r="W19" s="822" t="inlineStr">
        <is>
          <t xml:space="preserve">Theron </t>
        </is>
      </c>
      <c r="X19" s="673" t="n"/>
    </row>
    <row r="20" ht="21" customHeight="1" s="562">
      <c r="A20" s="791" t="n">
        <v>46008</v>
      </c>
      <c r="B20" s="792" t="inlineStr">
        <is>
          <t>Wednesday</t>
        </is>
      </c>
      <c r="C20" s="676" t="n"/>
      <c r="D20" s="693" t="inlineStr">
        <is>
          <t xml:space="preserve">Theron </t>
        </is>
      </c>
      <c r="E20" s="823" t="inlineStr">
        <is>
          <t>Patricia</t>
        </is>
      </c>
      <c r="F20" s="813" t="inlineStr">
        <is>
          <t xml:space="preserve">Apie </t>
        </is>
      </c>
      <c r="G20" s="676" t="n"/>
      <c r="H20" s="695" t="inlineStr">
        <is>
          <t xml:space="preserve">Le Roux </t>
        </is>
      </c>
      <c r="I20" s="591" t="n"/>
      <c r="J20" s="695" t="inlineStr">
        <is>
          <t>Bierman</t>
        </is>
      </c>
      <c r="K20" s="673" t="n"/>
      <c r="L20" s="591" t="n"/>
      <c r="M20" s="793" t="inlineStr">
        <is>
          <t xml:space="preserve">Johnstons </t>
        </is>
      </c>
      <c r="N20" s="673" t="n"/>
      <c r="O20" s="708" t="inlineStr">
        <is>
          <t>Van Heerden</t>
        </is>
      </c>
      <c r="P20" s="699" t="inlineStr">
        <is>
          <t xml:space="preserve">Roos </t>
        </is>
      </c>
      <c r="Q20" s="676" t="n"/>
      <c r="R20" s="786" t="inlineStr">
        <is>
          <t xml:space="preserve">Botes </t>
        </is>
      </c>
      <c r="S20" s="694" t="inlineStr">
        <is>
          <t xml:space="preserve">Sui Fon </t>
        </is>
      </c>
      <c r="T20" s="591" t="n"/>
      <c r="U20" s="673" t="n"/>
      <c r="V20" s="821" t="inlineStr">
        <is>
          <t xml:space="preserve">Ras </t>
        </is>
      </c>
      <c r="W20" s="816" t="n"/>
      <c r="X20" s="673" t="n"/>
    </row>
    <row r="21" ht="21" customHeight="1" s="562">
      <c r="A21" s="791" t="n">
        <v>46009</v>
      </c>
      <c r="B21" s="792" t="inlineStr">
        <is>
          <t>Thursday</t>
        </is>
      </c>
      <c r="C21" s="676" t="n"/>
      <c r="D21" s="699" t="inlineStr">
        <is>
          <t xml:space="preserve">Theron </t>
        </is>
      </c>
      <c r="E21" s="824" t="inlineStr">
        <is>
          <t>Patricia</t>
        </is>
      </c>
      <c r="F21" s="818" t="inlineStr">
        <is>
          <t xml:space="preserve">Apie </t>
        </is>
      </c>
      <c r="G21" s="676" t="n"/>
      <c r="H21" s="695" t="inlineStr">
        <is>
          <t xml:space="preserve">Le Roux </t>
        </is>
      </c>
      <c r="I21" s="591" t="n"/>
      <c r="J21" s="695" t="inlineStr">
        <is>
          <t>Bierman</t>
        </is>
      </c>
      <c r="K21" s="673" t="n"/>
      <c r="L21" s="591" t="n"/>
      <c r="M21" s="797" t="inlineStr">
        <is>
          <t xml:space="preserve">Johnstons </t>
        </is>
      </c>
      <c r="N21" s="673" t="n"/>
      <c r="O21" s="708" t="inlineStr">
        <is>
          <t>Van Heerden</t>
        </is>
      </c>
      <c r="P21" s="699" t="inlineStr">
        <is>
          <t xml:space="preserve">Roos </t>
        </is>
      </c>
      <c r="Q21" s="676" t="n"/>
      <c r="R21" s="677" t="inlineStr">
        <is>
          <t xml:space="preserve">Botes </t>
        </is>
      </c>
      <c r="S21" s="694" t="inlineStr">
        <is>
          <t xml:space="preserve">Sui Fon </t>
        </is>
      </c>
      <c r="T21" s="591" t="n"/>
      <c r="U21" s="678" t="inlineStr">
        <is>
          <t>Paoadopoulos</t>
        </is>
      </c>
      <c r="V21" s="825" t="inlineStr">
        <is>
          <t>Malanie</t>
        </is>
      </c>
      <c r="W21" s="676" t="n"/>
      <c r="X21" s="673" t="n"/>
    </row>
    <row r="22" ht="21" customHeight="1" s="562">
      <c r="A22" s="791" t="n">
        <v>46010</v>
      </c>
      <c r="B22" s="792" t="inlineStr">
        <is>
          <t>Friday</t>
        </is>
      </c>
      <c r="C22" s="783" t="inlineStr">
        <is>
          <t>Johnstons</t>
        </is>
      </c>
      <c r="D22" s="699" t="inlineStr">
        <is>
          <t xml:space="preserve">Theron </t>
        </is>
      </c>
      <c r="E22" s="591" t="n"/>
      <c r="F22" s="676" t="n"/>
      <c r="G22" s="676" t="n"/>
      <c r="H22" s="695" t="inlineStr">
        <is>
          <t xml:space="preserve">Le Roux </t>
        </is>
      </c>
      <c r="I22" s="591" t="n"/>
      <c r="J22" s="686" t="inlineStr">
        <is>
          <t>Bierman</t>
        </is>
      </c>
      <c r="K22" s="673" t="n"/>
      <c r="L22" s="591" t="n"/>
      <c r="M22" s="676" t="n"/>
      <c r="N22" s="673" t="n"/>
      <c r="O22" s="708" t="inlineStr">
        <is>
          <t>Van Heerden</t>
        </is>
      </c>
      <c r="P22" s="712" t="inlineStr">
        <is>
          <t xml:space="preserve">Roos </t>
        </is>
      </c>
      <c r="Q22" s="676" t="n"/>
      <c r="R22" s="799" t="inlineStr">
        <is>
          <t xml:space="preserve">Botes </t>
        </is>
      </c>
      <c r="S22" s="694" t="inlineStr">
        <is>
          <t xml:space="preserve">Sui Fon </t>
        </is>
      </c>
      <c r="T22" s="820" t="inlineStr">
        <is>
          <t xml:space="preserve">Apie </t>
        </is>
      </c>
      <c r="U22" s="688" t="inlineStr">
        <is>
          <t>Paoadopoulos</t>
        </is>
      </c>
      <c r="V22" s="826" t="inlineStr">
        <is>
          <t xml:space="preserve">Ras </t>
        </is>
      </c>
      <c r="W22" s="676" t="n"/>
      <c r="X22" s="673" t="n"/>
    </row>
    <row r="23" ht="21" customHeight="1" s="562">
      <c r="A23" s="791" t="n">
        <v>46011</v>
      </c>
      <c r="B23" s="792" t="inlineStr">
        <is>
          <t>Saturday</t>
        </is>
      </c>
      <c r="C23" s="793" t="inlineStr">
        <is>
          <t>Johnstons</t>
        </is>
      </c>
      <c r="D23" s="699" t="inlineStr">
        <is>
          <t xml:space="preserve">Theron </t>
        </is>
      </c>
      <c r="E23" s="591" t="n"/>
      <c r="F23" s="676" t="n"/>
      <c r="G23" s="676" t="n"/>
      <c r="H23" s="695" t="inlineStr">
        <is>
          <t xml:space="preserve">Le Roux </t>
        </is>
      </c>
      <c r="I23" s="591" t="n"/>
      <c r="J23" s="676" t="n"/>
      <c r="K23" s="673" t="n"/>
      <c r="L23" s="591" t="n"/>
      <c r="M23" s="676" t="n"/>
      <c r="N23" s="673" t="n"/>
      <c r="O23" s="708" t="inlineStr">
        <is>
          <t>Van Heerden</t>
        </is>
      </c>
      <c r="P23" s="676" t="n"/>
      <c r="Q23" s="676" t="n"/>
      <c r="R23" s="799" t="inlineStr">
        <is>
          <t xml:space="preserve">Botes </t>
        </is>
      </c>
      <c r="S23" s="694" t="inlineStr">
        <is>
          <t xml:space="preserve">Sui Fon </t>
        </is>
      </c>
      <c r="T23" s="813" t="inlineStr">
        <is>
          <t xml:space="preserve">Apie </t>
        </is>
      </c>
      <c r="U23" s="688" t="inlineStr">
        <is>
          <t>Paoadopoulos</t>
        </is>
      </c>
      <c r="V23" s="827" t="inlineStr">
        <is>
          <t xml:space="preserve">Ras </t>
        </is>
      </c>
      <c r="W23" s="676" t="n"/>
      <c r="X23" s="673" t="n"/>
    </row>
    <row r="24" ht="21" customHeight="1" s="562">
      <c r="A24" s="791" t="n">
        <v>46012</v>
      </c>
      <c r="B24" s="792" t="inlineStr">
        <is>
          <t>Sunday</t>
        </is>
      </c>
      <c r="C24" s="793" t="inlineStr">
        <is>
          <t>Johnstons</t>
        </is>
      </c>
      <c r="D24" s="699" t="inlineStr">
        <is>
          <t xml:space="preserve">Theron </t>
        </is>
      </c>
      <c r="E24" s="591" t="n"/>
      <c r="F24" s="676" t="n"/>
      <c r="G24" s="676" t="n"/>
      <c r="H24" s="695" t="inlineStr">
        <is>
          <t xml:space="preserve">Le Roux </t>
        </is>
      </c>
      <c r="I24" s="591" t="n"/>
      <c r="J24" s="676" t="n"/>
      <c r="K24" s="673" t="n"/>
      <c r="L24" s="591" t="n"/>
      <c r="M24" s="676" t="n"/>
      <c r="N24" s="746" t="n"/>
      <c r="O24" s="744" t="inlineStr">
        <is>
          <t>Van Heerden</t>
        </is>
      </c>
      <c r="P24" s="676" t="n"/>
      <c r="Q24" s="676" t="n"/>
      <c r="R24" s="676" t="n"/>
      <c r="S24" s="683" t="inlineStr">
        <is>
          <t xml:space="preserve">Sui Fon </t>
        </is>
      </c>
      <c r="T24" s="813" t="inlineStr">
        <is>
          <t xml:space="preserve">Apie </t>
        </is>
      </c>
      <c r="U24" s="688" t="inlineStr">
        <is>
          <t>Paoadopoulos</t>
        </is>
      </c>
      <c r="V24" s="827" t="inlineStr">
        <is>
          <t xml:space="preserve">Ras </t>
        </is>
      </c>
      <c r="W24" s="676" t="n"/>
      <c r="X24" s="673" t="n"/>
    </row>
    <row r="25" ht="21" customHeight="1" s="562">
      <c r="A25" s="791" t="n">
        <v>46013</v>
      </c>
      <c r="B25" s="792" t="inlineStr">
        <is>
          <t>Monday</t>
        </is>
      </c>
      <c r="C25" s="797" t="inlineStr">
        <is>
          <t>Johnstons</t>
        </is>
      </c>
      <c r="D25" s="699" t="inlineStr">
        <is>
          <t xml:space="preserve">Theron </t>
        </is>
      </c>
      <c r="E25" s="591" t="n"/>
      <c r="F25" s="676" t="n"/>
      <c r="G25" s="676" t="n"/>
      <c r="H25" s="695" t="inlineStr">
        <is>
          <t xml:space="preserve">Le Roux </t>
        </is>
      </c>
      <c r="I25" s="828" t="inlineStr">
        <is>
          <t>Van Heerden</t>
        </is>
      </c>
      <c r="J25" s="674" t="inlineStr">
        <is>
          <t>Bierman</t>
        </is>
      </c>
      <c r="K25" s="673" t="n"/>
      <c r="L25" s="591" t="n"/>
      <c r="M25" s="676" t="n"/>
      <c r="N25" s="829" t="inlineStr">
        <is>
          <t>Scroope</t>
        </is>
      </c>
      <c r="O25" s="591" t="n"/>
      <c r="P25" s="693" t="inlineStr">
        <is>
          <t xml:space="preserve">Roos </t>
        </is>
      </c>
      <c r="Q25" s="676" t="n"/>
      <c r="R25" s="786" t="inlineStr">
        <is>
          <t xml:space="preserve">Botes </t>
        </is>
      </c>
      <c r="S25" s="676" t="n"/>
      <c r="T25" s="830" t="inlineStr">
        <is>
          <t xml:space="preserve">Apie </t>
        </is>
      </c>
      <c r="U25" s="688" t="inlineStr">
        <is>
          <t>Paoadopoulos</t>
        </is>
      </c>
      <c r="V25" s="827" t="inlineStr">
        <is>
          <t xml:space="preserve">Ras </t>
        </is>
      </c>
      <c r="W25" s="676" t="n"/>
      <c r="X25" s="675" t="inlineStr">
        <is>
          <t xml:space="preserve">Sui Fon </t>
        </is>
      </c>
    </row>
    <row r="26" ht="21" customHeight="1" s="562">
      <c r="A26" s="791" t="n">
        <v>46014</v>
      </c>
      <c r="B26" s="792" t="inlineStr">
        <is>
          <t>Tuesday</t>
        </is>
      </c>
      <c r="C26" s="676" t="n"/>
      <c r="D26" s="831" t="inlineStr">
        <is>
          <t xml:space="preserve">Theron </t>
        </is>
      </c>
      <c r="E26" s="591" t="n"/>
      <c r="F26" s="832" t="inlineStr">
        <is>
          <t xml:space="preserve">Apie </t>
        </is>
      </c>
      <c r="G26" s="676" t="n"/>
      <c r="H26" s="686" t="inlineStr">
        <is>
          <t xml:space="preserve">Le Roux </t>
        </is>
      </c>
      <c r="I26" s="804" t="inlineStr">
        <is>
          <t>Van Heerden</t>
        </is>
      </c>
      <c r="J26" s="695" t="inlineStr">
        <is>
          <t>Bierman</t>
        </is>
      </c>
      <c r="K26" s="673" t="n"/>
      <c r="L26" s="591" t="n"/>
      <c r="M26" s="783" t="inlineStr">
        <is>
          <t xml:space="preserve">Johnstons </t>
        </is>
      </c>
      <c r="N26" s="796" t="inlineStr">
        <is>
          <t>Scroope</t>
        </is>
      </c>
      <c r="O26" s="591" t="n"/>
      <c r="P26" s="831" t="inlineStr">
        <is>
          <t xml:space="preserve">Roos </t>
        </is>
      </c>
      <c r="Q26" s="676" t="n"/>
      <c r="R26" s="677" t="inlineStr">
        <is>
          <t xml:space="preserve">Botes </t>
        </is>
      </c>
      <c r="S26" s="676" t="n"/>
      <c r="T26" s="676" t="n"/>
      <c r="U26" s="688" t="inlineStr">
        <is>
          <t>Paoadopoulos</t>
        </is>
      </c>
      <c r="V26" s="833" t="inlineStr">
        <is>
          <t xml:space="preserve">Ras </t>
        </is>
      </c>
      <c r="W26" s="676" t="n"/>
      <c r="X26" s="687" t="inlineStr">
        <is>
          <t xml:space="preserve">Sui Fon </t>
        </is>
      </c>
    </row>
    <row r="27" ht="21" customHeight="1" s="562">
      <c r="A27" s="791" t="n">
        <v>46015</v>
      </c>
      <c r="B27" s="792" t="inlineStr">
        <is>
          <t>Wednesday</t>
        </is>
      </c>
      <c r="C27" s="676" t="n"/>
      <c r="D27" s="816" t="n"/>
      <c r="E27" s="693" t="inlineStr">
        <is>
          <t xml:space="preserve">Theron </t>
        </is>
      </c>
      <c r="F27" s="813" t="inlineStr">
        <is>
          <t xml:space="preserve">Apie </t>
        </is>
      </c>
      <c r="G27" s="676" t="n"/>
      <c r="H27" s="673" t="n"/>
      <c r="I27" s="708" t="inlineStr">
        <is>
          <t>Van Heerden</t>
        </is>
      </c>
      <c r="J27" s="695" t="inlineStr">
        <is>
          <t>Bierman</t>
        </is>
      </c>
      <c r="K27" s="673" t="n"/>
      <c r="L27" s="591" t="n"/>
      <c r="M27" s="793" t="inlineStr">
        <is>
          <t xml:space="preserve">Johnstons </t>
        </is>
      </c>
      <c r="N27" s="834" t="inlineStr">
        <is>
          <t>Scroope</t>
        </is>
      </c>
      <c r="O27" s="680" t="inlineStr">
        <is>
          <t xml:space="preserve">Nozi </t>
        </is>
      </c>
      <c r="P27" s="719" t="n"/>
      <c r="Q27" s="591" t="n"/>
      <c r="R27" s="799" t="inlineStr">
        <is>
          <t xml:space="preserve">Botes </t>
        </is>
      </c>
      <c r="S27" s="676" t="n"/>
      <c r="T27" s="676" t="n"/>
      <c r="U27" s="688" t="inlineStr">
        <is>
          <t>Paoadopoulos</t>
        </is>
      </c>
      <c r="V27" s="591" t="n"/>
      <c r="W27" s="676" t="n"/>
      <c r="X27" s="696" t="inlineStr">
        <is>
          <t xml:space="preserve">Sui Fon </t>
        </is>
      </c>
    </row>
    <row r="28" ht="21" customHeight="1" s="562">
      <c r="A28" s="791" t="n">
        <v>46016</v>
      </c>
      <c r="B28" s="792" t="inlineStr">
        <is>
          <t>Thursday</t>
        </is>
      </c>
      <c r="C28" s="676" t="n"/>
      <c r="D28" s="676" t="n"/>
      <c r="E28" s="699" t="inlineStr">
        <is>
          <t xml:space="preserve">Theron </t>
        </is>
      </c>
      <c r="F28" s="813" t="inlineStr">
        <is>
          <t xml:space="preserve">Apie </t>
        </is>
      </c>
      <c r="G28" s="676" t="n"/>
      <c r="H28" s="673" t="n"/>
      <c r="I28" s="708" t="inlineStr">
        <is>
          <t>Van Heerden</t>
        </is>
      </c>
      <c r="J28" s="695" t="inlineStr">
        <is>
          <t>Bierman</t>
        </is>
      </c>
      <c r="K28" s="673" t="n"/>
      <c r="L28" s="591" t="n"/>
      <c r="M28" s="793" t="inlineStr">
        <is>
          <t xml:space="preserve">Johnstons </t>
        </is>
      </c>
      <c r="N28" s="834" t="inlineStr">
        <is>
          <t>Scroope</t>
        </is>
      </c>
      <c r="O28" s="694" t="inlineStr">
        <is>
          <t xml:space="preserve">Nozi </t>
        </is>
      </c>
      <c r="P28" s="679" t="n"/>
      <c r="Q28" s="591" t="n"/>
      <c r="R28" s="676" t="n"/>
      <c r="S28" s="676" t="n"/>
      <c r="T28" s="676" t="n"/>
      <c r="U28" s="688" t="inlineStr">
        <is>
          <t>Paoadopoulos</t>
        </is>
      </c>
      <c r="V28" s="591" t="n"/>
      <c r="W28" s="676" t="n"/>
      <c r="X28" s="673" t="n"/>
    </row>
    <row r="29" ht="21" customHeight="1" s="562">
      <c r="A29" s="791" t="n">
        <v>46017</v>
      </c>
      <c r="B29" s="792" t="inlineStr">
        <is>
          <t>Friday</t>
        </is>
      </c>
      <c r="C29" s="676" t="n"/>
      <c r="D29" s="676" t="n"/>
      <c r="E29" s="699" t="inlineStr">
        <is>
          <t xml:space="preserve">Theron </t>
        </is>
      </c>
      <c r="F29" s="813" t="inlineStr">
        <is>
          <t xml:space="preserve">Apie </t>
        </is>
      </c>
      <c r="G29" s="676" t="n"/>
      <c r="H29" s="673" t="n"/>
      <c r="I29" s="708" t="inlineStr">
        <is>
          <t>Van Heerden</t>
        </is>
      </c>
      <c r="J29" s="686" t="inlineStr">
        <is>
          <t>Bierman</t>
        </is>
      </c>
      <c r="K29" s="673" t="n"/>
      <c r="L29" s="591" t="n"/>
      <c r="M29" s="793" t="inlineStr">
        <is>
          <t xml:space="preserve">Johnstons </t>
        </is>
      </c>
      <c r="N29" s="834" t="inlineStr">
        <is>
          <t>Scroope</t>
        </is>
      </c>
      <c r="O29" s="683" t="inlineStr">
        <is>
          <t xml:space="preserve">Nozi </t>
        </is>
      </c>
      <c r="P29" s="679" t="n"/>
      <c r="Q29" s="591" t="n"/>
      <c r="R29" s="676" t="n"/>
      <c r="S29" s="676" t="n"/>
      <c r="T29" s="676" t="n"/>
      <c r="U29" s="688" t="inlineStr">
        <is>
          <t>Paoadopoulos</t>
        </is>
      </c>
      <c r="V29" s="798" t="inlineStr">
        <is>
          <t>Trish-600</t>
        </is>
      </c>
      <c r="W29" s="676" t="n"/>
      <c r="X29" s="673" t="n"/>
    </row>
    <row r="30" ht="21" customHeight="1" s="562">
      <c r="A30" s="791" t="n">
        <v>46018</v>
      </c>
      <c r="B30" s="792" t="inlineStr">
        <is>
          <t>Saturday</t>
        </is>
      </c>
      <c r="C30" s="676" t="n"/>
      <c r="D30" s="676" t="n"/>
      <c r="E30" s="699" t="inlineStr">
        <is>
          <t xml:space="preserve">Theron </t>
        </is>
      </c>
      <c r="F30" s="813" t="inlineStr">
        <is>
          <t xml:space="preserve">Apie </t>
        </is>
      </c>
      <c r="G30" s="676" t="n"/>
      <c r="H30" s="673" t="n"/>
      <c r="I30" s="708" t="inlineStr">
        <is>
          <t>Van Heerden</t>
        </is>
      </c>
      <c r="J30" s="676" t="n"/>
      <c r="K30" s="673" t="n"/>
      <c r="L30" s="591" t="n"/>
      <c r="M30" s="797" t="inlineStr">
        <is>
          <t xml:space="preserve">Johnstons </t>
        </is>
      </c>
      <c r="N30" s="796" t="inlineStr">
        <is>
          <t>Scroope</t>
        </is>
      </c>
      <c r="O30" s="591" t="n"/>
      <c r="P30" s="673" t="n"/>
      <c r="Q30" s="591" t="n"/>
      <c r="R30" s="676" t="n"/>
      <c r="S30" s="676" t="n"/>
      <c r="T30" s="676" t="n"/>
      <c r="U30" s="688" t="inlineStr">
        <is>
          <t>Paoadopoulos</t>
        </is>
      </c>
      <c r="V30" s="591" t="n"/>
      <c r="W30" s="676" t="n"/>
      <c r="X30" s="675" t="inlineStr">
        <is>
          <t xml:space="preserve">Sui Fon </t>
        </is>
      </c>
    </row>
    <row r="31" ht="21" customHeight="1" s="562">
      <c r="A31" s="791" t="n">
        <v>46019</v>
      </c>
      <c r="B31" s="792" t="inlineStr">
        <is>
          <t>Sunday</t>
        </is>
      </c>
      <c r="C31" s="835" t="n"/>
      <c r="D31" s="676" t="n"/>
      <c r="E31" s="699" t="inlineStr">
        <is>
          <t xml:space="preserve">Theron </t>
        </is>
      </c>
      <c r="F31" s="813" t="inlineStr">
        <is>
          <t xml:space="preserve">Apie </t>
        </is>
      </c>
      <c r="G31" s="676" t="n"/>
      <c r="H31" s="673" t="n"/>
      <c r="I31" s="744" t="inlineStr">
        <is>
          <t>Van Heerden</t>
        </is>
      </c>
      <c r="J31" s="676" t="n"/>
      <c r="K31" s="673" t="n"/>
      <c r="L31" s="591" t="n"/>
      <c r="M31" s="797" t="inlineStr">
        <is>
          <t xml:space="preserve">Johnstons </t>
        </is>
      </c>
      <c r="N31" s="796" t="inlineStr">
        <is>
          <t>Scroope</t>
        </is>
      </c>
      <c r="O31" s="591" t="n"/>
      <c r="P31" s="673" t="n"/>
      <c r="Q31" s="591" t="n"/>
      <c r="R31" s="676" t="n"/>
      <c r="S31" s="676" t="n"/>
      <c r="T31" s="676" t="n"/>
      <c r="U31" s="688" t="inlineStr">
        <is>
          <t>Paoadopoulos</t>
        </is>
      </c>
      <c r="V31" s="591" t="n"/>
      <c r="W31" s="676" t="n"/>
      <c r="X31" s="687" t="inlineStr">
        <is>
          <t xml:space="preserve">Sui Fon </t>
        </is>
      </c>
    </row>
    <row r="32" ht="21" customHeight="1" s="562">
      <c r="A32" s="791" t="n">
        <v>46020</v>
      </c>
      <c r="B32" s="792" t="inlineStr">
        <is>
          <t>Monday</t>
        </is>
      </c>
      <c r="C32" s="793" t="inlineStr">
        <is>
          <t>Johnstons</t>
        </is>
      </c>
      <c r="D32" s="676" t="n"/>
      <c r="E32" s="699" t="inlineStr">
        <is>
          <t xml:space="preserve">Theron </t>
        </is>
      </c>
      <c r="F32" s="818" t="inlineStr">
        <is>
          <t xml:space="preserve">Apie </t>
        </is>
      </c>
      <c r="G32" s="676" t="n"/>
      <c r="H32" s="673" t="n"/>
      <c r="I32" s="591" t="n"/>
      <c r="J32" s="674" t="inlineStr">
        <is>
          <t>Bierman</t>
        </is>
      </c>
      <c r="K32" s="679" t="n"/>
      <c r="L32" s="591" t="n"/>
      <c r="M32" s="676" t="n"/>
      <c r="N32" s="796" t="inlineStr">
        <is>
          <t>Scroope</t>
        </is>
      </c>
      <c r="O32" s="703" t="inlineStr">
        <is>
          <t>Van Heerden</t>
        </is>
      </c>
      <c r="P32" s="673" t="n"/>
      <c r="Q32" s="591" t="n"/>
      <c r="R32" s="786" t="inlineStr">
        <is>
          <t xml:space="preserve">Botes </t>
        </is>
      </c>
      <c r="S32" s="676" t="n"/>
      <c r="T32" s="676" t="n"/>
      <c r="U32" s="688" t="inlineStr">
        <is>
          <t>Paoadopoulos</t>
        </is>
      </c>
      <c r="V32" s="836" t="inlineStr">
        <is>
          <t>Ras</t>
        </is>
      </c>
      <c r="W32" s="676" t="n"/>
      <c r="X32" s="687" t="inlineStr">
        <is>
          <t xml:space="preserve">Sui Fon </t>
        </is>
      </c>
    </row>
    <row r="33" ht="21" customHeight="1" s="562">
      <c r="A33" s="791" t="n">
        <v>46021</v>
      </c>
      <c r="B33" s="792" t="inlineStr">
        <is>
          <t>Tuesday</t>
        </is>
      </c>
      <c r="C33" s="793" t="inlineStr">
        <is>
          <t>Johnstons</t>
        </is>
      </c>
      <c r="D33" s="676" t="n"/>
      <c r="E33" s="831" t="inlineStr">
        <is>
          <t xml:space="preserve">Theron </t>
        </is>
      </c>
      <c r="F33" s="591" t="n"/>
      <c r="G33" s="676" t="n"/>
      <c r="H33" s="673" t="n"/>
      <c r="I33" s="837" t="n"/>
      <c r="J33" s="695" t="inlineStr">
        <is>
          <t>Bierman</t>
        </is>
      </c>
      <c r="K33" s="679" t="n"/>
      <c r="L33" s="591" t="n"/>
      <c r="M33" s="676" t="n"/>
      <c r="N33" s="796" t="inlineStr">
        <is>
          <t>Scroope</t>
        </is>
      </c>
      <c r="O33" s="708" t="inlineStr">
        <is>
          <t>Van Heerden</t>
        </is>
      </c>
      <c r="P33" s="673" t="n"/>
      <c r="Q33" s="591" t="n"/>
      <c r="R33" s="677" t="inlineStr">
        <is>
          <t xml:space="preserve">Botes </t>
        </is>
      </c>
      <c r="S33" s="676" t="n"/>
      <c r="T33" s="832" t="inlineStr">
        <is>
          <t xml:space="preserve">Apie </t>
        </is>
      </c>
      <c r="U33" s="688" t="inlineStr">
        <is>
          <t>Paoadopoulos</t>
        </is>
      </c>
      <c r="V33" s="838" t="inlineStr">
        <is>
          <t>Ras</t>
        </is>
      </c>
      <c r="W33" s="676" t="n"/>
      <c r="X33" s="696" t="inlineStr">
        <is>
          <t xml:space="preserve">Sui Fon </t>
        </is>
      </c>
    </row>
    <row r="34" ht="21" customHeight="1" s="562">
      <c r="A34" s="791" t="n">
        <v>46022</v>
      </c>
      <c r="B34" s="792" t="inlineStr">
        <is>
          <t>Wednesday</t>
        </is>
      </c>
      <c r="C34" s="797" t="inlineStr">
        <is>
          <t>Johnstons</t>
        </is>
      </c>
      <c r="D34" s="787" t="inlineStr">
        <is>
          <t xml:space="preserve">Theron </t>
        </is>
      </c>
      <c r="E34" s="839" t="inlineStr">
        <is>
          <t>Paoadopoulos</t>
        </is>
      </c>
      <c r="F34" s="837" t="n"/>
      <c r="G34" s="715" t="n"/>
      <c r="H34" s="746" t="n"/>
      <c r="J34" s="686" t="inlineStr">
        <is>
          <t>Bierman</t>
        </is>
      </c>
      <c r="K34" s="840" t="n"/>
      <c r="L34" s="591" t="n"/>
      <c r="M34" s="715" t="n"/>
      <c r="N34" s="805" t="inlineStr">
        <is>
          <t>Scroope</t>
        </is>
      </c>
      <c r="O34" s="744" t="inlineStr">
        <is>
          <t>Van Heerden</t>
        </is>
      </c>
      <c r="P34" s="673" t="n"/>
      <c r="Q34" s="837" t="n"/>
      <c r="R34" s="799" t="inlineStr">
        <is>
          <t xml:space="preserve">Botes </t>
        </is>
      </c>
      <c r="S34" s="715" t="n"/>
      <c r="T34" s="830" t="inlineStr">
        <is>
          <t xml:space="preserve">Apie </t>
        </is>
      </c>
      <c r="U34" s="741" t="n"/>
      <c r="V34" s="841" t="inlineStr">
        <is>
          <t>Ras</t>
        </is>
      </c>
      <c r="W34" s="715" t="n"/>
      <c r="X34" s="746" t="n"/>
    </row>
    <row r="35" ht="18.75" customFormat="1" customHeight="1" s="593">
      <c r="A35" s="748" t="inlineStr">
        <is>
          <t xml:space="preserve">Days Worked </t>
        </is>
      </c>
      <c r="B35" s="749" t="n"/>
      <c r="C35" s="755" t="n">
        <v>16</v>
      </c>
      <c r="D35" s="755" t="n">
        <v>21</v>
      </c>
      <c r="E35" s="755" t="n">
        <v>15</v>
      </c>
      <c r="F35" s="755" t="n">
        <v>21</v>
      </c>
      <c r="G35" s="755" t="n">
        <v>12</v>
      </c>
      <c r="H35" s="752" t="n">
        <v>15</v>
      </c>
      <c r="I35" s="752" t="n">
        <v>21</v>
      </c>
      <c r="J35" s="755" t="n">
        <v>23</v>
      </c>
      <c r="K35" s="755" t="n"/>
      <c r="L35" s="752" t="n"/>
      <c r="M35" s="755" t="n">
        <v>15</v>
      </c>
      <c r="N35" s="755" t="n">
        <v>10</v>
      </c>
      <c r="O35" s="842" t="n">
        <v>14</v>
      </c>
      <c r="P35" s="752" t="n">
        <v>17</v>
      </c>
      <c r="Q35" s="843" t="n"/>
      <c r="R35" s="755" t="n">
        <v>21</v>
      </c>
      <c r="S35" s="755" t="n">
        <v>14</v>
      </c>
      <c r="T35" s="755" t="n">
        <v>10</v>
      </c>
      <c r="U35" s="842" t="n">
        <v>17</v>
      </c>
      <c r="V35" s="755" t="n">
        <v>13</v>
      </c>
      <c r="W35" s="844" t="n">
        <v>6</v>
      </c>
      <c r="X35" s="844" t="n">
        <v>7</v>
      </c>
    </row>
    <row r="36" ht="18.75" customFormat="1" customHeight="1" s="593">
      <c r="A36" s="845" t="n"/>
      <c r="B36" s="846" t="n"/>
      <c r="C36" s="755" t="n"/>
      <c r="D36" s="755" t="n"/>
      <c r="E36" s="755" t="n"/>
      <c r="F36" s="755" t="n"/>
      <c r="G36" s="755" t="n"/>
      <c r="H36" s="752" t="n"/>
      <c r="I36" s="752" t="n"/>
      <c r="J36" s="755" t="n"/>
      <c r="K36" s="755" t="n"/>
      <c r="L36" s="752" t="n"/>
      <c r="M36" s="755" t="n"/>
      <c r="N36" s="755" t="n"/>
      <c r="O36" s="842" t="n"/>
      <c r="P36" s="752" t="n"/>
      <c r="Q36" s="843" t="n"/>
      <c r="R36" s="755" t="n"/>
      <c r="S36" s="755" t="n"/>
      <c r="T36" s="755" t="n"/>
      <c r="U36" s="842" t="n"/>
      <c r="V36" s="752" t="n">
        <v>150</v>
      </c>
      <c r="W36" s="844" t="n"/>
      <c r="X36" s="844" t="n"/>
    </row>
    <row r="37" ht="18.75" customHeight="1" s="562">
      <c r="A37" s="757" t="inlineStr">
        <is>
          <t xml:space="preserve">Money Borrowed </t>
        </is>
      </c>
      <c r="B37" s="757" t="n"/>
      <c r="C37" s="757" t="n"/>
      <c r="D37" s="757" t="n"/>
      <c r="E37" s="757" t="n"/>
      <c r="F37" s="757" t="n"/>
      <c r="G37" s="757" t="n"/>
      <c r="H37" s="757" t="n"/>
      <c r="I37" s="757" t="n"/>
      <c r="J37" s="757" t="n">
        <v>1600</v>
      </c>
      <c r="K37" s="757" t="n"/>
      <c r="L37" s="757" t="n"/>
      <c r="M37" s="757" t="n"/>
      <c r="N37" s="757" t="n"/>
      <c r="O37" s="757" t="n">
        <v>272</v>
      </c>
      <c r="P37" s="757" t="n"/>
      <c r="Q37" s="757" t="n"/>
      <c r="R37" s="758" t="n">
        <v>700</v>
      </c>
      <c r="S37" s="757" t="n"/>
      <c r="T37" s="757" t="n"/>
      <c r="U37" s="847" t="n">
        <v>250</v>
      </c>
      <c r="V37" s="673" t="n">
        <v>1000</v>
      </c>
      <c r="W37" s="848" t="n">
        <v>2550</v>
      </c>
      <c r="X37" s="848" t="n"/>
    </row>
    <row r="38" ht="24" customFormat="1" customHeight="1" s="849">
      <c r="A38" s="850" t="inlineStr">
        <is>
          <t>Total Amount</t>
        </is>
      </c>
      <c r="B38" s="851">
        <f>SUM(C38:AL38)</f>
        <v/>
      </c>
      <c r="C38" s="852">
        <f>C2*C35</f>
        <v/>
      </c>
      <c r="D38" s="852">
        <f>D2*D35</f>
        <v/>
      </c>
      <c r="E38" s="852">
        <f>E35*E2</f>
        <v/>
      </c>
      <c r="F38" s="852">
        <f>F35*F2</f>
        <v/>
      </c>
      <c r="G38" s="852">
        <f>G35*G2</f>
        <v/>
      </c>
      <c r="H38" s="852">
        <f>H2*H35</f>
        <v/>
      </c>
      <c r="I38" s="852">
        <f>I2*I35</f>
        <v/>
      </c>
      <c r="J38" s="852" t="n">
        <v>9400</v>
      </c>
      <c r="K38" s="852">
        <f>K2*K35</f>
        <v/>
      </c>
      <c r="L38" s="852" t="n"/>
      <c r="M38" s="852">
        <f>M2*M35</f>
        <v/>
      </c>
      <c r="N38" s="853">
        <f>N2*N35</f>
        <v/>
      </c>
      <c r="O38" s="853">
        <f>O2*O35-O37</f>
        <v/>
      </c>
      <c r="P38" s="853">
        <f>P2*P35</f>
        <v/>
      </c>
      <c r="Q38" s="853">
        <f>Q2*Q35-Q37</f>
        <v/>
      </c>
      <c r="R38" s="853">
        <f>R2*R35-R37</f>
        <v/>
      </c>
      <c r="S38" s="853">
        <f>S2*S35</f>
        <v/>
      </c>
      <c r="T38" s="853">
        <f>T2*T35</f>
        <v/>
      </c>
      <c r="U38" s="854">
        <f>U2*U35-U37</f>
        <v/>
      </c>
      <c r="V38" s="853">
        <f>SUM(V2*V35-V37+V36)</f>
        <v/>
      </c>
      <c r="W38" s="852">
        <f>W2*W35-W37</f>
        <v/>
      </c>
      <c r="X38" s="853">
        <f>X2*X35-X37</f>
        <v/>
      </c>
    </row>
    <row r="39" ht="18" customHeight="1" s="562">
      <c r="C39" s="591" t="n"/>
      <c r="D39" s="764" t="n"/>
      <c r="E39" s="764" t="n"/>
      <c r="F39" s="764" t="n"/>
      <c r="G39" s="764" t="n"/>
      <c r="H39" s="591" t="n"/>
      <c r="I39" s="591" t="n"/>
      <c r="J39" s="591" t="n"/>
      <c r="K39" s="591" t="n"/>
      <c r="L39" s="591" t="n"/>
      <c r="M39" s="591" t="n"/>
      <c r="N39" s="855" t="n"/>
      <c r="O39" s="855" t="n"/>
      <c r="P39" s="855" t="n"/>
      <c r="Q39" s="591" t="n"/>
      <c r="R39" s="855" t="n"/>
      <c r="S39" s="855" t="n"/>
      <c r="T39" s="855" t="n"/>
      <c r="U39" s="855" t="n"/>
      <c r="V39" s="856" t="n"/>
      <c r="X39" s="857" t="n"/>
    </row>
    <row r="40" ht="18" customHeight="1" s="562">
      <c r="C40" s="591" t="n"/>
      <c r="D40" s="764" t="n"/>
      <c r="E40" s="764" t="n"/>
      <c r="F40" s="764" t="n"/>
      <c r="G40" s="764" t="n"/>
      <c r="H40" s="591" t="n"/>
      <c r="I40" s="591" t="n"/>
      <c r="J40" s="591" t="n"/>
      <c r="K40" s="591" t="n"/>
      <c r="L40" s="591" t="n"/>
      <c r="M40" s="591" t="n"/>
      <c r="N40" s="591" t="n"/>
      <c r="O40" s="591" t="n"/>
      <c r="P40" s="591" t="n"/>
      <c r="Q40" s="591" t="n"/>
      <c r="R40" s="591" t="n"/>
      <c r="S40" s="591" t="n"/>
      <c r="T40" s="591" t="n"/>
      <c r="U40" s="591" t="n"/>
    </row>
    <row r="41" ht="19.5" customHeight="1" s="562">
      <c r="C41" s="591" t="n"/>
      <c r="D41" s="858" t="inlineStr">
        <is>
          <t>Andre NPC</t>
        </is>
      </c>
      <c r="E41" s="859">
        <f>SUM(C38+D38+E38+F38+G38+H38+I38+J38+K38+L38+M38+W38)</f>
        <v/>
      </c>
      <c r="F41" s="764" t="n"/>
      <c r="G41" s="764" t="n"/>
      <c r="H41" s="591" t="n"/>
      <c r="I41" s="591" t="n"/>
      <c r="J41" s="591" t="n"/>
      <c r="K41" s="591" t="n"/>
      <c r="L41" s="591" t="n"/>
      <c r="M41" s="591" t="n"/>
      <c r="N41" s="591" t="n"/>
      <c r="O41" s="591" t="n"/>
      <c r="P41" s="591" t="n"/>
      <c r="Q41" s="591" t="n"/>
      <c r="R41" s="591" t="n"/>
      <c r="S41" s="591" t="n"/>
      <c r="T41" s="591" t="n"/>
      <c r="U41" s="591" t="n"/>
    </row>
    <row r="42" ht="19.5" customHeight="1" s="562">
      <c r="C42" s="591" t="n"/>
      <c r="D42" s="858" t="inlineStr">
        <is>
          <t>Donnay TCH</t>
        </is>
      </c>
      <c r="E42" s="860">
        <f>SUM(N38+O38+P38+Q38+R38+S38+T38+U38+V38+X38)</f>
        <v/>
      </c>
      <c r="F42" s="764" t="n"/>
      <c r="G42" s="764" t="n"/>
      <c r="H42" s="591" t="n"/>
      <c r="I42" s="591" t="n"/>
      <c r="J42" s="591" t="n"/>
      <c r="K42" s="591" t="n"/>
      <c r="L42" s="591" t="n"/>
      <c r="M42" s="591" t="n"/>
      <c r="N42" s="591" t="n"/>
      <c r="O42" s="591" t="n"/>
      <c r="P42" s="591" t="n"/>
      <c r="Q42" s="591" t="n"/>
      <c r="R42" s="591" t="n"/>
      <c r="S42" s="591" t="n"/>
      <c r="T42" s="591" t="n"/>
      <c r="U42" s="591" t="n"/>
    </row>
    <row r="43" ht="18" customHeight="1" s="562">
      <c r="C43" s="591" t="n"/>
      <c r="D43" s="764" t="n"/>
      <c r="E43" s="764" t="n"/>
      <c r="F43" s="764" t="n"/>
      <c r="G43" s="764" t="n"/>
      <c r="H43" s="591" t="n"/>
      <c r="I43" s="591" t="n"/>
      <c r="J43" s="591" t="n"/>
      <c r="K43" s="591" t="n"/>
      <c r="L43" s="591" t="n"/>
      <c r="M43" s="591" t="n"/>
      <c r="N43" s="591" t="n"/>
      <c r="O43" s="591" t="n"/>
      <c r="P43" s="591" t="n"/>
      <c r="Q43" s="591" t="n"/>
      <c r="R43" s="591" t="n"/>
      <c r="S43" s="591" t="n"/>
      <c r="T43" s="591" t="n"/>
      <c r="U43" s="591" t="n"/>
    </row>
    <row r="44" ht="18" customHeight="1" s="562">
      <c r="C44" s="591" t="n"/>
      <c r="D44" s="764" t="n"/>
      <c r="E44" s="764" t="n"/>
      <c r="F44" s="764" t="n"/>
      <c r="G44" s="764" t="n"/>
      <c r="H44" s="591" t="n"/>
      <c r="I44" s="591" t="n"/>
      <c r="J44" s="591" t="n"/>
      <c r="K44" s="591" t="n"/>
      <c r="L44" s="591" t="n"/>
      <c r="M44" s="591" t="n"/>
      <c r="N44" s="591" t="n"/>
      <c r="O44" s="591" t="n"/>
      <c r="P44" s="591" t="n"/>
      <c r="Q44" s="591" t="n"/>
      <c r="R44" s="591" t="n"/>
      <c r="S44" s="591" t="n"/>
      <c r="T44" s="591" t="n"/>
      <c r="U44" s="591" t="n"/>
    </row>
    <row r="45" ht="18" customHeight="1" s="562">
      <c r="C45" s="591" t="n"/>
      <c r="D45" s="764" t="n"/>
      <c r="E45" s="657" t="n"/>
      <c r="F45" s="764" t="n"/>
      <c r="G45" s="764" t="n"/>
      <c r="H45" s="591" t="n"/>
      <c r="I45" s="591" t="n"/>
      <c r="J45" s="591" t="n"/>
      <c r="K45" s="591" t="n"/>
      <c r="L45" s="591" t="n"/>
      <c r="M45" s="591" t="n"/>
      <c r="N45" s="591" t="n"/>
      <c r="O45" s="591" t="n"/>
      <c r="P45" s="591" t="n"/>
      <c r="Q45" s="591" t="n"/>
      <c r="R45" s="591" t="n"/>
      <c r="S45" s="591" t="n"/>
      <c r="T45" s="591" t="n"/>
      <c r="U45" s="591" t="n"/>
    </row>
    <row r="46" ht="18" customHeight="1" s="562">
      <c r="C46" s="591" t="n"/>
      <c r="D46" s="764" t="n"/>
      <c r="E46" s="764" t="n"/>
      <c r="F46" s="764" t="n"/>
      <c r="G46" s="764" t="n"/>
      <c r="H46" s="591" t="n"/>
      <c r="I46" s="591" t="n"/>
      <c r="J46" s="591" t="n"/>
      <c r="K46" s="591" t="n"/>
      <c r="L46" s="591" t="n"/>
      <c r="M46" s="591" t="n"/>
      <c r="N46" s="591" t="n"/>
      <c r="O46" s="591" t="n"/>
      <c r="P46" s="591" t="n"/>
      <c r="Q46" s="591" t="n"/>
      <c r="R46" s="591" t="n"/>
      <c r="S46" s="591" t="n"/>
      <c r="T46" s="591" t="n"/>
      <c r="U46" s="591" t="n"/>
    </row>
    <row r="47" ht="18" customHeight="1" s="562">
      <c r="C47" s="591" t="n"/>
      <c r="D47" s="764" t="n"/>
      <c r="E47" s="764" t="n"/>
      <c r="F47" s="764" t="n"/>
      <c r="G47" s="764" t="n"/>
      <c r="H47" s="591" t="n"/>
      <c r="I47" s="591" t="n"/>
      <c r="J47" s="591" t="n"/>
      <c r="K47" s="591" t="n"/>
      <c r="L47" s="591" t="n"/>
      <c r="M47" s="591" t="n"/>
      <c r="N47" s="591" t="n"/>
      <c r="O47" s="591" t="n"/>
      <c r="P47" s="591" t="n"/>
      <c r="Q47" s="591" t="n"/>
      <c r="R47" s="591" t="n"/>
      <c r="S47" s="591" t="n"/>
      <c r="T47" s="591" t="n"/>
      <c r="U47" s="591" t="n"/>
    </row>
    <row r="48" ht="18" customHeight="1" s="562">
      <c r="C48" s="591" t="n"/>
      <c r="D48" s="764" t="n"/>
      <c r="E48" s="764" t="n"/>
      <c r="F48" s="764" t="n"/>
      <c r="G48" s="764" t="n"/>
      <c r="H48" s="591" t="n"/>
      <c r="I48" s="591" t="n"/>
      <c r="J48" s="591" t="n"/>
      <c r="K48" s="591" t="n"/>
      <c r="L48" s="591" t="n"/>
      <c r="M48" s="591" t="n"/>
      <c r="N48" s="591" t="n"/>
      <c r="O48" s="591" t="n"/>
      <c r="P48" s="591" t="n"/>
      <c r="Q48" s="591" t="n"/>
      <c r="R48" s="591" t="n"/>
      <c r="S48" s="591" t="n"/>
      <c r="T48" s="591" t="n"/>
      <c r="U48" s="591" t="n"/>
    </row>
    <row r="49" ht="18" customHeight="1" s="562">
      <c r="C49" s="591" t="n"/>
      <c r="D49" s="764" t="n"/>
      <c r="E49" s="764" t="n"/>
      <c r="F49" s="764" t="n"/>
      <c r="G49" s="764" t="n"/>
      <c r="H49" s="591" t="n"/>
      <c r="I49" s="591" t="n"/>
      <c r="J49" s="591" t="n"/>
      <c r="K49" s="591" t="n"/>
      <c r="L49" s="591" t="n"/>
      <c r="M49" s="591" t="n"/>
      <c r="N49" s="591" t="n"/>
      <c r="O49" s="591" t="n"/>
      <c r="P49" s="591" t="n"/>
      <c r="Q49" s="591" t="n"/>
      <c r="R49" s="591" t="n"/>
      <c r="S49" s="591" t="n"/>
      <c r="T49" s="591" t="n"/>
      <c r="U49" s="591" t="n"/>
    </row>
    <row r="50" ht="18" customHeight="1" s="562">
      <c r="C50" s="591" t="n"/>
      <c r="D50" s="764" t="n"/>
      <c r="E50" s="764" t="n"/>
      <c r="F50" s="764" t="n"/>
      <c r="G50" s="764" t="n"/>
      <c r="H50" s="591" t="n"/>
      <c r="I50" s="591" t="n"/>
      <c r="J50" s="591" t="n"/>
      <c r="K50" s="591" t="n"/>
      <c r="L50" s="591" t="n"/>
      <c r="M50" s="591" t="n"/>
      <c r="N50" s="591" t="n"/>
      <c r="O50" s="591" t="n"/>
      <c r="P50" s="591" t="n"/>
      <c r="Q50" s="591" t="n"/>
      <c r="R50" s="591" t="n"/>
      <c r="S50" s="591" t="n"/>
      <c r="T50" s="591" t="n"/>
      <c r="U50" s="591" t="n"/>
    </row>
    <row r="51" ht="18" customHeight="1" s="562">
      <c r="C51" s="591" t="n"/>
      <c r="D51" s="764" t="n"/>
      <c r="E51" s="764" t="n"/>
      <c r="F51" s="764" t="n"/>
      <c r="G51" s="764" t="n"/>
      <c r="H51" s="591" t="n"/>
      <c r="I51" s="591" t="n"/>
      <c r="J51" s="591" t="n"/>
      <c r="K51" s="591" t="n"/>
      <c r="L51" s="591" t="n"/>
      <c r="M51" s="591" t="n"/>
      <c r="N51" s="591" t="n"/>
      <c r="O51" s="591" t="n"/>
      <c r="P51" s="591" t="n"/>
      <c r="Q51" s="591" t="n"/>
      <c r="R51" s="591" t="n"/>
      <c r="S51" s="591" t="n"/>
      <c r="T51" s="591" t="n"/>
      <c r="U51" s="591" t="n"/>
    </row>
    <row r="52" ht="18" customHeight="1" s="562">
      <c r="C52" s="591" t="n"/>
      <c r="D52" s="764" t="n"/>
      <c r="E52" s="764" t="n"/>
      <c r="F52" s="764" t="n"/>
      <c r="G52" s="764" t="n"/>
      <c r="H52" s="591" t="n"/>
      <c r="I52" s="591" t="n"/>
      <c r="J52" s="591" t="n"/>
      <c r="K52" s="591" t="n"/>
      <c r="L52" s="591" t="n"/>
      <c r="M52" s="591" t="n"/>
      <c r="N52" s="591" t="n"/>
      <c r="O52" s="591" t="n"/>
      <c r="P52" s="591" t="n"/>
      <c r="Q52" s="591" t="n"/>
      <c r="R52" s="591" t="n"/>
      <c r="S52" s="591" t="n"/>
      <c r="T52" s="591" t="n"/>
      <c r="U52" s="591" t="n"/>
    </row>
    <row r="53" ht="18" customHeight="1" s="562">
      <c r="C53" s="591" t="n"/>
      <c r="D53" s="764" t="n"/>
      <c r="E53" s="764" t="n"/>
      <c r="F53" s="764" t="n"/>
      <c r="G53" s="764" t="n"/>
      <c r="H53" s="591" t="n"/>
      <c r="I53" s="591" t="n"/>
      <c r="J53" s="591" t="n"/>
      <c r="K53" s="591" t="n"/>
      <c r="L53" s="591" t="n"/>
      <c r="M53" s="591" t="n"/>
      <c r="N53" s="591" t="n"/>
      <c r="O53" s="591" t="n"/>
      <c r="P53" s="591" t="n"/>
      <c r="Q53" s="591" t="n"/>
      <c r="R53" s="591" t="n"/>
      <c r="S53" s="591" t="n"/>
      <c r="T53" s="591" t="n"/>
      <c r="U53" s="591" t="n"/>
    </row>
    <row r="54" ht="18" customHeight="1" s="562">
      <c r="C54" s="591" t="n"/>
      <c r="D54" s="764" t="n"/>
      <c r="E54" s="764" t="n"/>
      <c r="F54" s="764" t="n"/>
      <c r="G54" s="764" t="n"/>
      <c r="H54" s="591" t="n"/>
      <c r="I54" s="591" t="n"/>
      <c r="J54" s="591" t="n"/>
      <c r="K54" s="591" t="n"/>
      <c r="L54" s="591" t="n"/>
      <c r="M54" s="591" t="n"/>
      <c r="N54" s="591" t="n"/>
      <c r="O54" s="591" t="n"/>
      <c r="P54" s="591" t="n"/>
      <c r="Q54" s="591" t="n"/>
      <c r="R54" s="591" t="n"/>
      <c r="S54" s="591" t="n"/>
      <c r="T54" s="591" t="n"/>
      <c r="U54" s="591" t="n"/>
    </row>
    <row r="55" ht="18" customHeight="1" s="562">
      <c r="C55" s="591" t="n"/>
      <c r="D55" s="764" t="n"/>
      <c r="E55" s="764" t="n"/>
      <c r="F55" s="764" t="n"/>
      <c r="G55" s="764" t="n"/>
      <c r="H55" s="591" t="n"/>
      <c r="I55" s="591" t="n"/>
      <c r="J55" s="591" t="n"/>
      <c r="K55" s="591" t="n"/>
      <c r="L55" s="591" t="n"/>
      <c r="M55" s="591" t="n"/>
      <c r="N55" s="591" t="n"/>
      <c r="O55" s="591" t="n"/>
      <c r="P55" s="591" t="n"/>
      <c r="Q55" s="591" t="n"/>
      <c r="R55" s="591" t="n"/>
      <c r="S55" s="591" t="n"/>
      <c r="T55" s="591" t="n"/>
      <c r="U55" s="591" t="n"/>
    </row>
    <row r="56" ht="18" customHeight="1" s="562">
      <c r="C56" s="591" t="n"/>
      <c r="D56" s="764" t="n"/>
      <c r="E56" s="764" t="n"/>
      <c r="F56" s="764" t="n"/>
      <c r="G56" s="764" t="n"/>
      <c r="H56" s="591" t="n"/>
      <c r="I56" s="591" t="n"/>
      <c r="J56" s="591" t="n"/>
      <c r="K56" s="591" t="n"/>
      <c r="L56" s="591" t="n"/>
      <c r="M56" s="591" t="n"/>
      <c r="N56" s="591" t="n"/>
      <c r="O56" s="591" t="n"/>
      <c r="P56" s="591" t="n"/>
      <c r="Q56" s="591" t="n"/>
      <c r="R56" s="591" t="n"/>
      <c r="S56" s="591" t="n"/>
      <c r="T56" s="591" t="n"/>
      <c r="U56" s="591" t="n"/>
    </row>
    <row r="57" ht="18" customHeight="1" s="562">
      <c r="C57" s="591" t="n"/>
      <c r="D57" s="764" t="n"/>
      <c r="E57" s="764" t="n"/>
      <c r="F57" s="764" t="n"/>
      <c r="G57" s="764" t="n"/>
      <c r="H57" s="591" t="n"/>
      <c r="I57" s="591" t="n"/>
      <c r="J57" s="591" t="n"/>
      <c r="K57" s="591" t="n"/>
      <c r="L57" s="591" t="n"/>
      <c r="M57" s="591" t="n"/>
      <c r="N57" s="591" t="n"/>
      <c r="O57" s="591" t="n"/>
      <c r="P57" s="591" t="n"/>
      <c r="Q57" s="591" t="n"/>
      <c r="R57" s="591" t="n"/>
      <c r="S57" s="591" t="n"/>
      <c r="T57" s="591" t="n"/>
      <c r="U57" s="591" t="n"/>
    </row>
    <row r="58" ht="18" customHeight="1" s="562">
      <c r="C58" s="591" t="n"/>
      <c r="D58" s="764" t="n"/>
      <c r="E58" s="764" t="n"/>
      <c r="F58" s="764" t="n"/>
      <c r="G58" s="764" t="n"/>
      <c r="H58" s="591" t="n"/>
      <c r="I58" s="591" t="n"/>
      <c r="J58" s="591" t="n"/>
      <c r="K58" s="591" t="n"/>
      <c r="L58" s="591" t="n"/>
      <c r="M58" s="591" t="n"/>
      <c r="N58" s="591" t="n"/>
      <c r="O58" s="591" t="n"/>
      <c r="P58" s="591" t="n"/>
      <c r="Q58" s="591" t="n"/>
      <c r="R58" s="591" t="n"/>
      <c r="S58" s="591" t="n"/>
      <c r="T58" s="591" t="n"/>
      <c r="U58" s="591" t="n"/>
    </row>
    <row r="59" ht="18" customHeight="1" s="562">
      <c r="C59" s="591" t="n"/>
      <c r="D59" s="764" t="n"/>
      <c r="E59" s="764" t="n"/>
      <c r="F59" s="764" t="n"/>
      <c r="G59" s="764" t="n"/>
      <c r="H59" s="591" t="n"/>
      <c r="I59" s="591" t="n"/>
      <c r="J59" s="591" t="n"/>
      <c r="K59" s="591" t="n"/>
      <c r="L59" s="591" t="n"/>
      <c r="M59" s="591" t="n"/>
      <c r="N59" s="591" t="n"/>
      <c r="O59" s="591" t="n"/>
      <c r="P59" s="591" t="n"/>
      <c r="Q59" s="591" t="n"/>
      <c r="R59" s="591" t="n"/>
      <c r="S59" s="591" t="n"/>
      <c r="T59" s="591" t="n"/>
      <c r="U59" s="591" t="n"/>
    </row>
    <row r="60" ht="18" customHeight="1" s="562">
      <c r="C60" s="591" t="n"/>
      <c r="D60" s="764" t="n"/>
      <c r="E60" s="764" t="n"/>
      <c r="F60" s="764" t="n"/>
      <c r="G60" s="764" t="n"/>
      <c r="H60" s="591" t="n"/>
      <c r="I60" s="591" t="n"/>
      <c r="J60" s="591" t="n"/>
      <c r="K60" s="591" t="n"/>
      <c r="L60" s="591" t="n"/>
      <c r="M60" s="591" t="n"/>
      <c r="N60" s="591" t="n"/>
      <c r="O60" s="591" t="n"/>
      <c r="P60" s="591" t="n"/>
      <c r="Q60" s="591" t="n"/>
      <c r="R60" s="591" t="n"/>
      <c r="S60" s="591" t="n"/>
      <c r="T60" s="591" t="n"/>
      <c r="U60" s="59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W108"/>
  <sheetViews>
    <sheetView showFormulas="0" showGridLines="1" showRowColHeaders="1" showZeros="1" rightToLeft="0" tabSelected="0" showOutlineSymbols="1" defaultGridColor="1" view="normal" topLeftCell="A96" colorId="64" zoomScale="100" zoomScaleNormal="100" zoomScalePageLayoutView="100" workbookViewId="0">
      <selection pane="topLeft" activeCell="Q26" activeCellId="0" sqref="Q26"/>
    </sheetView>
  </sheetViews>
  <sheetFormatPr baseColWidth="8" defaultColWidth="10.4921875" defaultRowHeight="15.75" customHeight="0" zeroHeight="0" outlineLevelRow="0"/>
  <cols>
    <col width="24.16" customWidth="1" style="561" min="1" max="1"/>
    <col width="18.16" customWidth="1" style="561" min="2" max="2"/>
    <col width="13.5" customWidth="1" style="561" min="3" max="3"/>
    <col width="13.5" customWidth="1" style="561" min="5" max="5"/>
    <col width="22" customWidth="1" style="561" min="6" max="6"/>
    <col width="13.5" customWidth="1" style="561" min="7" max="7"/>
    <col width="18.16" customWidth="1" style="561" min="10" max="10"/>
    <col width="13.5" customWidth="1" style="561" min="11" max="11"/>
    <col width="18.16" customWidth="1" style="561" min="14" max="14"/>
    <col width="13.5" customWidth="1" style="561" min="15" max="15"/>
    <col width="18.16" customWidth="1" style="561" min="18" max="18"/>
    <col width="13.5" customWidth="1" style="561" min="19" max="19"/>
    <col width="18.16" customWidth="1" style="561" min="22" max="22"/>
    <col width="13.5" customWidth="1" style="561" min="23" max="23"/>
  </cols>
  <sheetData>
    <row r="1" ht="18.75" customHeight="1" s="562">
      <c r="A1" s="612" t="inlineStr">
        <is>
          <t>Johnstons- monthly</t>
        </is>
      </c>
      <c r="B1" s="613" t="n"/>
      <c r="C1" s="614" t="n"/>
      <c r="D1" s="591" t="n"/>
      <c r="E1" s="612" t="inlineStr">
        <is>
          <t>Van Der Linde- monthly</t>
        </is>
      </c>
      <c r="F1" s="613" t="n"/>
      <c r="G1" s="614" t="n"/>
      <c r="H1" s="591" t="n"/>
      <c r="I1" s="615" t="inlineStr">
        <is>
          <t>Rene Lotz/ Wilhelm</t>
        </is>
      </c>
      <c r="J1" s="613" t="n"/>
      <c r="K1" s="614" t="n"/>
      <c r="L1" s="591" t="n"/>
      <c r="M1" s="615" t="inlineStr">
        <is>
          <t>John Bierman- monthly</t>
        </is>
      </c>
      <c r="N1" s="613" t="n"/>
      <c r="O1" s="614" t="n"/>
      <c r="P1" s="591" t="n"/>
      <c r="Q1" s="615" t="inlineStr">
        <is>
          <t>Natasha Naranjee</t>
        </is>
      </c>
      <c r="R1" s="613" t="n"/>
      <c r="S1" s="614" t="n"/>
      <c r="U1" s="615" t="inlineStr">
        <is>
          <t>Scroope</t>
        </is>
      </c>
      <c r="V1" s="613" t="n"/>
      <c r="W1" s="614" t="n"/>
    </row>
    <row r="2" ht="18.75" customHeight="1" s="562">
      <c r="A2" s="616" t="inlineStr">
        <is>
          <t xml:space="preserve">Income </t>
        </is>
      </c>
      <c r="B2" s="617" t="n"/>
      <c r="C2" s="618" t="n"/>
      <c r="D2" s="591" t="n"/>
      <c r="E2" s="616" t="inlineStr">
        <is>
          <t xml:space="preserve">Income </t>
        </is>
      </c>
      <c r="F2" s="617" t="n"/>
      <c r="G2" s="618" t="n"/>
      <c r="H2" s="591" t="n"/>
      <c r="I2" s="619" t="inlineStr">
        <is>
          <t xml:space="preserve">Income </t>
        </is>
      </c>
      <c r="J2" s="617" t="n"/>
      <c r="K2" s="618" t="n"/>
      <c r="L2" s="591" t="n"/>
      <c r="M2" s="619" t="inlineStr">
        <is>
          <t xml:space="preserve">Income </t>
        </is>
      </c>
      <c r="N2" s="617" t="n"/>
      <c r="O2" s="618" t="n"/>
      <c r="P2" s="591" t="n"/>
      <c r="Q2" s="619" t="inlineStr">
        <is>
          <t xml:space="preserve">Income </t>
        </is>
      </c>
      <c r="R2" s="617" t="n"/>
      <c r="S2" s="618" t="n"/>
      <c r="U2" s="619" t="inlineStr">
        <is>
          <t xml:space="preserve">Income </t>
        </is>
      </c>
      <c r="V2" s="617" t="n"/>
      <c r="W2" s="618" t="n"/>
    </row>
    <row r="3" ht="18" customHeight="1" s="562">
      <c r="A3" s="620" t="inlineStr">
        <is>
          <t>Date:</t>
        </is>
      </c>
      <c r="B3" s="591" t="n"/>
      <c r="C3" s="621" t="inlineStr">
        <is>
          <t xml:space="preserve">Payment </t>
        </is>
      </c>
      <c r="D3" s="591" t="n"/>
      <c r="E3" s="620" t="inlineStr">
        <is>
          <t>Date:</t>
        </is>
      </c>
      <c r="F3" s="591" t="n"/>
      <c r="G3" s="621" t="inlineStr">
        <is>
          <t xml:space="preserve">Payment </t>
        </is>
      </c>
      <c r="H3" s="591" t="n"/>
      <c r="I3" s="622" t="inlineStr">
        <is>
          <t>Date:</t>
        </is>
      </c>
      <c r="J3" s="623" t="n"/>
      <c r="K3" s="624" t="inlineStr">
        <is>
          <t xml:space="preserve">Payment </t>
        </is>
      </c>
      <c r="L3" s="591" t="n"/>
      <c r="M3" s="622" t="inlineStr">
        <is>
          <t>Date:</t>
        </is>
      </c>
      <c r="N3" s="623" t="n"/>
      <c r="O3" s="624" t="inlineStr">
        <is>
          <t xml:space="preserve">Payment </t>
        </is>
      </c>
      <c r="P3" s="591" t="n"/>
      <c r="Q3" s="622" t="inlineStr">
        <is>
          <t>Date:</t>
        </is>
      </c>
      <c r="R3" s="623" t="n"/>
      <c r="S3" s="624" t="inlineStr">
        <is>
          <t xml:space="preserve">Payment </t>
        </is>
      </c>
      <c r="U3" s="622" t="inlineStr">
        <is>
          <t>Date:</t>
        </is>
      </c>
      <c r="V3" s="623" t="n"/>
      <c r="W3" s="624" t="inlineStr">
        <is>
          <t xml:space="preserve">Payment </t>
        </is>
      </c>
    </row>
    <row r="4" ht="18" customHeight="1" s="562">
      <c r="A4" s="625" t="n">
        <v>45658</v>
      </c>
      <c r="B4" s="766" t="inlineStr">
        <is>
          <t>Invoiced NPC</t>
        </is>
      </c>
      <c r="C4" s="601" t="n">
        <v>23250</v>
      </c>
      <c r="D4" s="591" t="n"/>
      <c r="E4" s="625" t="n">
        <v>45658</v>
      </c>
      <c r="F4" s="766" t="inlineStr">
        <is>
          <t>Invoiced NPC</t>
        </is>
      </c>
      <c r="G4" s="601" t="n">
        <v>22200</v>
      </c>
      <c r="H4" s="591" t="n"/>
      <c r="I4" s="625" t="n">
        <v>46030</v>
      </c>
      <c r="J4" s="766" t="inlineStr">
        <is>
          <t xml:space="preserve">invoiced </t>
        </is>
      </c>
      <c r="K4" s="627" t="n">
        <v>7300</v>
      </c>
      <c r="L4" s="591" t="n"/>
      <c r="M4" s="625" t="n">
        <v>45658</v>
      </c>
      <c r="N4" s="766" t="inlineStr">
        <is>
          <t>Invoiced TCH</t>
        </is>
      </c>
      <c r="O4" s="627" t="n">
        <v>17600</v>
      </c>
      <c r="P4" s="591" t="n"/>
      <c r="Q4" s="625" t="n">
        <v>46029</v>
      </c>
      <c r="R4" s="766" t="inlineStr">
        <is>
          <t xml:space="preserve">Invoived </t>
        </is>
      </c>
      <c r="S4" s="627" t="n">
        <v>3400</v>
      </c>
      <c r="U4" s="628" t="n">
        <v>46023</v>
      </c>
      <c r="V4" s="766" t="inlineStr">
        <is>
          <t xml:space="preserve">invoiced </t>
        </is>
      </c>
      <c r="W4" s="627" t="n">
        <v>1500</v>
      </c>
    </row>
    <row r="5" ht="18" customHeight="1" s="562">
      <c r="A5" s="625" t="n"/>
      <c r="B5" s="609" t="n"/>
      <c r="C5" s="601" t="n"/>
      <c r="D5" s="591" t="n"/>
      <c r="E5" s="625" t="n"/>
      <c r="F5" s="609" t="n"/>
      <c r="G5" s="601" t="n"/>
      <c r="H5" s="591" t="n"/>
      <c r="I5" s="625" t="n">
        <v>46038</v>
      </c>
      <c r="J5" s="766" t="inlineStr">
        <is>
          <t xml:space="preserve">invoiced </t>
        </is>
      </c>
      <c r="K5" s="627" t="n">
        <v>5900</v>
      </c>
      <c r="L5" s="591" t="n"/>
      <c r="M5" s="625" t="n"/>
      <c r="N5" s="626" t="n"/>
      <c r="O5" s="627" t="n"/>
      <c r="P5" s="591" t="n"/>
      <c r="Q5" s="625" t="n">
        <v>46032</v>
      </c>
      <c r="R5" s="766" t="inlineStr">
        <is>
          <t xml:space="preserve">Invoived </t>
        </is>
      </c>
      <c r="S5" s="627" t="n">
        <v>6600</v>
      </c>
      <c r="U5" s="628" t="n">
        <v>46048</v>
      </c>
      <c r="V5" s="766" t="inlineStr">
        <is>
          <t xml:space="preserve">invoiced </t>
        </is>
      </c>
      <c r="W5" s="627" t="n">
        <v>2500</v>
      </c>
    </row>
    <row r="6" ht="18" customHeight="1" s="562">
      <c r="A6" s="625" t="n"/>
      <c r="B6" s="609" t="n"/>
      <c r="C6" s="601" t="n"/>
      <c r="D6" s="591" t="n"/>
      <c r="E6" s="625" t="n"/>
      <c r="F6" s="609" t="n"/>
      <c r="G6" s="601" t="n"/>
      <c r="H6" s="591" t="n"/>
      <c r="I6" s="625" t="n"/>
      <c r="J6" s="626" t="n"/>
      <c r="K6" s="627" t="n"/>
      <c r="L6" s="591" t="n"/>
      <c r="M6" s="625" t="n"/>
      <c r="N6" s="626" t="n"/>
      <c r="O6" s="627" t="n"/>
      <c r="P6" s="591" t="n"/>
      <c r="Q6" s="625" t="n"/>
      <c r="R6" s="626" t="n"/>
      <c r="S6" s="627" t="n"/>
      <c r="U6" s="628" t="n"/>
      <c r="V6" s="626" t="n"/>
      <c r="W6" s="627" t="n"/>
    </row>
    <row r="7" ht="18.75" customHeight="1" s="562">
      <c r="A7" s="620" t="n"/>
      <c r="B7" s="591" t="n"/>
      <c r="C7" s="601" t="n"/>
      <c r="D7" s="591" t="n"/>
      <c r="E7" s="620" t="n"/>
      <c r="F7" s="591" t="n"/>
      <c r="G7" s="601" t="n"/>
      <c r="H7" s="591" t="n"/>
      <c r="I7" s="625" t="n"/>
      <c r="J7" s="623" t="n"/>
      <c r="K7" s="627" t="n"/>
      <c r="L7" s="591" t="n"/>
      <c r="M7" s="622" t="n"/>
      <c r="N7" s="623" t="n"/>
      <c r="O7" s="627" t="n"/>
      <c r="P7" s="591" t="n"/>
      <c r="Q7" s="622" t="n"/>
      <c r="R7" s="623" t="n"/>
      <c r="S7" s="639" t="n"/>
      <c r="U7" s="628" t="n"/>
      <c r="V7" s="626" t="n"/>
      <c r="W7" s="624" t="n"/>
    </row>
    <row r="8" ht="18.75" customHeight="1" s="562">
      <c r="A8" s="620" t="n"/>
      <c r="B8" s="591" t="n"/>
      <c r="C8" s="629">
        <f>SUM(C4:C7)</f>
        <v/>
      </c>
      <c r="D8" s="591" t="n"/>
      <c r="E8" s="620" t="n"/>
      <c r="F8" s="591" t="n"/>
      <c r="G8" s="629">
        <f>SUM(G4:G7)</f>
        <v/>
      </c>
      <c r="H8" s="591" t="n"/>
      <c r="I8" s="628" t="n"/>
      <c r="J8" s="623" t="n"/>
      <c r="K8" s="630">
        <f>SUM(K4:K7)</f>
        <v/>
      </c>
      <c r="L8" s="591" t="n"/>
      <c r="M8" s="622" t="n"/>
      <c r="N8" s="623" t="n"/>
      <c r="O8" s="630">
        <f>SUM(O4:O7)</f>
        <v/>
      </c>
      <c r="P8" s="591" t="n"/>
      <c r="Q8" s="622" t="n"/>
      <c r="R8" s="623" t="n"/>
      <c r="S8" s="631">
        <f>SUM(S4:S7)</f>
        <v/>
      </c>
      <c r="U8" s="622" t="n"/>
      <c r="V8" s="623" t="n"/>
      <c r="W8" s="631">
        <f>SUM(W4:W7)</f>
        <v/>
      </c>
    </row>
    <row r="9" ht="18.75" customHeight="1" s="562">
      <c r="A9" s="632" t="inlineStr">
        <is>
          <t xml:space="preserve">Expenses </t>
        </is>
      </c>
      <c r="B9" s="617" t="n"/>
      <c r="C9" s="618" t="n"/>
      <c r="D9" s="591" t="n"/>
      <c r="E9" s="632" t="inlineStr">
        <is>
          <t xml:space="preserve">Expenses </t>
        </is>
      </c>
      <c r="F9" s="617" t="n"/>
      <c r="G9" s="618" t="n"/>
      <c r="H9" s="591" t="n"/>
      <c r="I9" s="633" t="inlineStr">
        <is>
          <t xml:space="preserve">Expenses </t>
        </is>
      </c>
      <c r="J9" s="617" t="n"/>
      <c r="K9" s="618" t="n"/>
      <c r="L9" s="591" t="n"/>
      <c r="M9" s="633" t="inlineStr">
        <is>
          <t xml:space="preserve">Expenses </t>
        </is>
      </c>
      <c r="N9" s="617" t="n"/>
      <c r="O9" s="618" t="n"/>
      <c r="P9" s="591" t="n"/>
      <c r="Q9" s="633" t="inlineStr">
        <is>
          <t xml:space="preserve">Expenses </t>
        </is>
      </c>
      <c r="R9" s="617" t="n"/>
      <c r="S9" s="618" t="n"/>
      <c r="U9" s="643" t="inlineStr">
        <is>
          <t xml:space="preserve">Expenses </t>
        </is>
      </c>
      <c r="V9" s="617" t="n"/>
      <c r="W9" s="618" t="n"/>
    </row>
    <row r="10" ht="18" customHeight="1" s="562">
      <c r="A10" s="620" t="inlineStr">
        <is>
          <t>Date:</t>
        </is>
      </c>
      <c r="B10" s="591" t="inlineStr">
        <is>
          <t xml:space="preserve">Expense Name </t>
        </is>
      </c>
      <c r="C10" s="621" t="inlineStr">
        <is>
          <t xml:space="preserve">Amount </t>
        </is>
      </c>
      <c r="D10" s="591" t="n"/>
      <c r="E10" s="620" t="inlineStr">
        <is>
          <t>Date:</t>
        </is>
      </c>
      <c r="F10" s="591" t="inlineStr">
        <is>
          <t xml:space="preserve">Expense Name </t>
        </is>
      </c>
      <c r="G10" s="621" t="inlineStr">
        <is>
          <t xml:space="preserve">Amount </t>
        </is>
      </c>
      <c r="H10" s="591" t="n"/>
      <c r="I10" s="622" t="inlineStr">
        <is>
          <t>Date:</t>
        </is>
      </c>
      <c r="J10" s="623" t="inlineStr">
        <is>
          <t xml:space="preserve">Expense Name </t>
        </is>
      </c>
      <c r="K10" s="624" t="inlineStr">
        <is>
          <t xml:space="preserve">Amount </t>
        </is>
      </c>
      <c r="L10" s="591" t="n"/>
      <c r="M10" s="622" t="inlineStr">
        <is>
          <t>Date:</t>
        </is>
      </c>
      <c r="N10" s="623" t="inlineStr">
        <is>
          <t xml:space="preserve">Expense Name </t>
        </is>
      </c>
      <c r="O10" s="624" t="inlineStr">
        <is>
          <t xml:space="preserve">Amount </t>
        </is>
      </c>
      <c r="P10" s="591" t="n"/>
      <c r="Q10" s="622" t="inlineStr">
        <is>
          <t>Date:</t>
        </is>
      </c>
      <c r="R10" s="623" t="inlineStr">
        <is>
          <t xml:space="preserve">Expense Name </t>
        </is>
      </c>
      <c r="S10" s="624" t="inlineStr">
        <is>
          <t xml:space="preserve">Amount </t>
        </is>
      </c>
      <c r="U10" s="622" t="inlineStr">
        <is>
          <t>Date:</t>
        </is>
      </c>
      <c r="V10" s="623" t="inlineStr">
        <is>
          <t xml:space="preserve">Expense Name </t>
        </is>
      </c>
      <c r="W10" s="624" t="inlineStr">
        <is>
          <t xml:space="preserve">Amount </t>
        </is>
      </c>
    </row>
    <row r="11" ht="18" customHeight="1" s="562">
      <c r="A11" s="625" t="n">
        <v>45992</v>
      </c>
      <c r="B11" s="591" t="inlineStr">
        <is>
          <t xml:space="preserve">Linda </t>
        </is>
      </c>
      <c r="C11" s="621" t="n"/>
      <c r="D11" s="591" t="n"/>
      <c r="E11" s="625" t="n">
        <v>45992</v>
      </c>
      <c r="F11" s="591" t="inlineStr">
        <is>
          <t xml:space="preserve">Emily </t>
        </is>
      </c>
      <c r="G11" s="621" t="n"/>
      <c r="H11" s="591" t="n"/>
      <c r="I11" s="625" t="n"/>
      <c r="J11" s="591" t="n"/>
      <c r="K11" s="621" t="n"/>
      <c r="L11" s="591" t="n"/>
      <c r="M11" s="625" t="n">
        <v>45992</v>
      </c>
      <c r="N11" s="591" t="n"/>
      <c r="O11" s="621" t="n"/>
      <c r="P11" s="591" t="n"/>
      <c r="Q11" s="625" t="n">
        <v>46023</v>
      </c>
      <c r="R11" s="591" t="inlineStr">
        <is>
          <t xml:space="preserve">Marion </t>
        </is>
      </c>
      <c r="S11" s="621" t="n"/>
      <c r="U11" s="628" t="n"/>
      <c r="V11" s="623" t="inlineStr">
        <is>
          <t>Merriam</t>
        </is>
      </c>
      <c r="W11" s="624" t="n"/>
    </row>
    <row r="12" ht="18" customHeight="1" s="562">
      <c r="A12" s="625" t="n">
        <v>45992</v>
      </c>
      <c r="B12" s="591" t="inlineStr">
        <is>
          <t>Ada</t>
        </is>
      </c>
      <c r="C12" s="621" t="n"/>
      <c r="D12" s="591" t="n"/>
      <c r="E12" s="625" t="n">
        <v>45992</v>
      </c>
      <c r="F12" s="591" t="inlineStr">
        <is>
          <t xml:space="preserve">Emma </t>
        </is>
      </c>
      <c r="G12" s="621" t="n"/>
      <c r="H12" s="591" t="n"/>
      <c r="I12" s="625" t="n"/>
      <c r="J12" s="591" t="n"/>
      <c r="K12" s="621" t="n"/>
      <c r="L12" s="591" t="n"/>
      <c r="M12" s="620" t="n"/>
      <c r="N12" s="591" t="n"/>
      <c r="O12" s="621" t="n"/>
      <c r="P12" s="591" t="n"/>
      <c r="Q12" s="625" t="n"/>
      <c r="R12" s="591" t="inlineStr">
        <is>
          <t>Syliva Nene</t>
        </is>
      </c>
      <c r="S12" s="621" t="n"/>
      <c r="U12" s="628" t="n"/>
      <c r="V12" s="623" t="n"/>
      <c r="W12" s="624" t="n"/>
    </row>
    <row r="13" ht="18" customHeight="1" s="562">
      <c r="A13" s="620" t="n"/>
      <c r="B13" s="591" t="inlineStr">
        <is>
          <t xml:space="preserve">Sylive </t>
        </is>
      </c>
      <c r="C13" s="621" t="n"/>
      <c r="D13" s="591" t="n"/>
      <c r="E13" s="625" t="n">
        <v>45992</v>
      </c>
      <c r="F13" s="591" t="inlineStr">
        <is>
          <t xml:space="preserve">Uber </t>
        </is>
      </c>
      <c r="G13" s="621" t="n"/>
      <c r="H13" s="591" t="n"/>
      <c r="I13" s="620" t="n"/>
      <c r="J13" s="591" t="n"/>
      <c r="K13" s="621" t="n"/>
      <c r="L13" s="591" t="n"/>
      <c r="M13" s="620" t="n"/>
      <c r="N13" s="591" t="n"/>
      <c r="O13" s="621" t="n"/>
      <c r="P13" s="591" t="n"/>
      <c r="Q13" s="620" t="n"/>
      <c r="R13" s="591" t="inlineStr">
        <is>
          <t>Joyce</t>
        </is>
      </c>
      <c r="S13" s="621" t="n"/>
      <c r="U13" s="628" t="n"/>
      <c r="V13" s="623" t="n"/>
      <c r="W13" s="624" t="n"/>
    </row>
    <row r="14" ht="18" customHeight="1" s="562">
      <c r="A14" s="620" t="n"/>
      <c r="B14" s="591" t="n"/>
      <c r="C14" s="621" t="n"/>
      <c r="D14" s="591" t="n"/>
      <c r="E14" s="625" t="n"/>
      <c r="F14" s="591" t="n"/>
      <c r="G14" s="621" t="n"/>
      <c r="H14" s="591" t="n"/>
      <c r="I14" s="620" t="n"/>
      <c r="J14" s="591" t="n"/>
      <c r="K14" s="621" t="n"/>
      <c r="L14" s="591" t="n"/>
      <c r="M14" s="620" t="n"/>
      <c r="N14" s="591" t="n"/>
      <c r="O14" s="621" t="n"/>
      <c r="P14" s="591" t="n"/>
      <c r="Q14" s="620" t="n"/>
      <c r="R14" s="591" t="n"/>
      <c r="S14" s="621" t="n"/>
      <c r="U14" s="622" t="n"/>
      <c r="V14" s="623" t="n"/>
      <c r="W14" s="624" t="n"/>
    </row>
    <row r="15" ht="18" customHeight="1" s="562">
      <c r="A15" s="620" t="n"/>
      <c r="B15" s="591" t="n"/>
      <c r="C15" s="621" t="n"/>
      <c r="D15" s="591" t="n"/>
      <c r="E15" s="620" t="n"/>
      <c r="F15" s="591" t="n"/>
      <c r="G15" s="621" t="n"/>
      <c r="H15" s="591" t="n"/>
      <c r="I15" s="620" t="n"/>
      <c r="J15" s="591" t="n"/>
      <c r="K15" s="621" t="n"/>
      <c r="L15" s="591" t="n"/>
      <c r="M15" s="620" t="n"/>
      <c r="N15" s="591" t="n"/>
      <c r="O15" s="621" t="n"/>
      <c r="P15" s="591" t="n"/>
      <c r="Q15" s="620" t="n"/>
      <c r="R15" s="591" t="n"/>
      <c r="S15" s="621" t="n"/>
      <c r="U15" s="622" t="n"/>
      <c r="V15" s="623" t="n"/>
      <c r="W15" s="624" t="n"/>
    </row>
    <row r="16" ht="18" customHeight="1" s="562">
      <c r="A16" s="620" t="n"/>
      <c r="B16" s="591" t="n"/>
      <c r="C16" s="621" t="n"/>
      <c r="D16" s="591" t="n"/>
      <c r="E16" s="620" t="n"/>
      <c r="F16" s="591" t="n"/>
      <c r="G16" s="621" t="n"/>
      <c r="H16" s="591" t="n"/>
      <c r="I16" s="620" t="n"/>
      <c r="J16" s="591" t="n"/>
      <c r="K16" s="621" t="n"/>
      <c r="L16" s="591" t="n"/>
      <c r="M16" s="620" t="n"/>
      <c r="N16" s="591" t="n"/>
      <c r="O16" s="621" t="n"/>
      <c r="P16" s="591" t="n"/>
      <c r="Q16" s="620" t="n"/>
      <c r="R16" s="591" t="n"/>
      <c r="S16" s="621" t="n"/>
      <c r="U16" s="622" t="n"/>
      <c r="V16" s="623" t="n"/>
      <c r="W16" s="624" t="n"/>
    </row>
    <row r="17" ht="18" customHeight="1" s="562">
      <c r="A17" s="620" t="n"/>
      <c r="B17" s="591" t="n"/>
      <c r="C17" s="621" t="n"/>
      <c r="D17" s="591" t="n"/>
      <c r="E17" s="620" t="n"/>
      <c r="F17" s="591" t="n"/>
      <c r="G17" s="621" t="n"/>
      <c r="H17" s="591" t="n"/>
      <c r="I17" s="620" t="n"/>
      <c r="J17" s="591" t="n"/>
      <c r="K17" s="621" t="n"/>
      <c r="L17" s="591" t="n"/>
      <c r="M17" s="620" t="n"/>
      <c r="N17" s="591" t="n"/>
      <c r="O17" s="621" t="n"/>
      <c r="P17" s="591" t="n"/>
      <c r="Q17" s="620" t="n"/>
      <c r="R17" s="591" t="n"/>
      <c r="S17" s="621" t="n"/>
      <c r="U17" s="622" t="n"/>
      <c r="V17" s="623" t="n"/>
      <c r="W17" s="624" t="n"/>
    </row>
    <row r="18" ht="18" customHeight="1" s="562">
      <c r="A18" s="620" t="n"/>
      <c r="B18" s="591" t="n"/>
      <c r="C18" s="621" t="n"/>
      <c r="D18" s="591" t="n"/>
      <c r="E18" s="620" t="n"/>
      <c r="F18" s="591" t="n"/>
      <c r="G18" s="621" t="n"/>
      <c r="H18" s="591" t="n"/>
      <c r="I18" s="620" t="n"/>
      <c r="J18" s="591" t="n"/>
      <c r="K18" s="621" t="n"/>
      <c r="L18" s="591" t="n"/>
      <c r="M18" s="620" t="n"/>
      <c r="N18" s="591" t="n"/>
      <c r="O18" s="621" t="n"/>
      <c r="P18" s="591" t="n"/>
      <c r="Q18" s="620" t="n"/>
      <c r="R18" s="591" t="n"/>
      <c r="S18" s="621" t="n"/>
      <c r="U18" s="622" t="n"/>
      <c r="V18" s="623" t="n"/>
      <c r="W18" s="624" t="n"/>
    </row>
    <row r="19" ht="18" customHeight="1" s="562">
      <c r="A19" s="620" t="n"/>
      <c r="B19" s="591" t="n"/>
      <c r="C19" s="621" t="n"/>
      <c r="D19" s="591" t="n"/>
      <c r="E19" s="620" t="n"/>
      <c r="F19" s="591" t="n"/>
      <c r="G19" s="621" t="n"/>
      <c r="H19" s="591" t="n"/>
      <c r="I19" s="620" t="n"/>
      <c r="J19" s="591" t="n"/>
      <c r="K19" s="621" t="n"/>
      <c r="L19" s="591" t="n"/>
      <c r="M19" s="620" t="n"/>
      <c r="N19" s="591" t="n"/>
      <c r="O19" s="621" t="n"/>
      <c r="P19" s="591" t="n"/>
      <c r="Q19" s="620" t="n"/>
      <c r="R19" s="591" t="n"/>
      <c r="S19" s="621" t="n"/>
      <c r="U19" s="622" t="n"/>
      <c r="V19" s="623" t="n"/>
      <c r="W19" s="624" t="n"/>
    </row>
    <row r="20" ht="18" customHeight="1" s="562">
      <c r="A20" s="620" t="n"/>
      <c r="B20" s="591" t="n"/>
      <c r="C20" s="621" t="n"/>
      <c r="D20" s="591" t="n"/>
      <c r="E20" s="620" t="n"/>
      <c r="F20" s="591" t="n"/>
      <c r="G20" s="621" t="n"/>
      <c r="H20" s="591" t="n"/>
      <c r="I20" s="620" t="n"/>
      <c r="J20" s="591" t="n"/>
      <c r="K20" s="621" t="n"/>
      <c r="L20" s="591" t="n"/>
      <c r="M20" s="620" t="n"/>
      <c r="N20" s="591" t="n"/>
      <c r="O20" s="621" t="n"/>
      <c r="P20" s="591" t="n"/>
      <c r="Q20" s="620" t="n"/>
      <c r="R20" s="591" t="n"/>
      <c r="S20" s="621" t="n"/>
      <c r="U20" s="622" t="n"/>
      <c r="V20" s="623" t="n"/>
      <c r="W20" s="624" t="n"/>
    </row>
    <row r="21" ht="18" customHeight="1" s="562">
      <c r="A21" s="620" t="n"/>
      <c r="B21" s="591" t="n"/>
      <c r="C21" s="621" t="n"/>
      <c r="D21" s="591" t="n"/>
      <c r="E21" s="620" t="n"/>
      <c r="F21" s="591" t="n"/>
      <c r="G21" s="621" t="n"/>
      <c r="H21" s="591" t="n"/>
      <c r="I21" s="620" t="n"/>
      <c r="J21" s="591" t="n"/>
      <c r="K21" s="621" t="n"/>
      <c r="L21" s="591" t="n"/>
      <c r="M21" s="620" t="n"/>
      <c r="N21" s="591" t="n"/>
      <c r="O21" s="621" t="n"/>
      <c r="P21" s="591" t="n"/>
      <c r="Q21" s="620" t="n"/>
      <c r="R21" s="591" t="n"/>
      <c r="S21" s="621" t="n"/>
      <c r="U21" s="622" t="n"/>
      <c r="V21" s="623" t="n"/>
      <c r="W21" s="624" t="n"/>
    </row>
    <row r="22" ht="18.75" customHeight="1" s="562">
      <c r="A22" s="620" t="n"/>
      <c r="B22" s="591" t="n"/>
      <c r="C22" s="621" t="n"/>
      <c r="D22" s="591" t="n"/>
      <c r="E22" s="620" t="n"/>
      <c r="F22" s="591" t="n"/>
      <c r="G22" s="621" t="n"/>
      <c r="H22" s="591" t="n"/>
      <c r="I22" s="620" t="n"/>
      <c r="J22" s="591" t="n"/>
      <c r="K22" s="621" t="n"/>
      <c r="L22" s="591" t="n"/>
      <c r="M22" s="620" t="n"/>
      <c r="N22" s="591" t="n"/>
      <c r="O22" s="621" t="n"/>
      <c r="P22" s="591" t="n"/>
      <c r="Q22" s="620" t="n"/>
      <c r="R22" s="591" t="n"/>
      <c r="S22" s="621" t="n"/>
      <c r="U22" s="622" t="n"/>
      <c r="V22" s="623" t="n"/>
      <c r="W22" s="624" t="n"/>
    </row>
    <row r="23" ht="18.75" customHeight="1" s="562">
      <c r="A23" s="634" t="inlineStr">
        <is>
          <t xml:space="preserve">Total Expense </t>
        </is>
      </c>
      <c r="B23" s="617" t="n"/>
      <c r="C23" s="635">
        <f>SUM(C11:C22)</f>
        <v/>
      </c>
      <c r="D23" s="591" t="n"/>
      <c r="E23" s="634" t="inlineStr">
        <is>
          <t xml:space="preserve">Total Expense </t>
        </is>
      </c>
      <c r="F23" s="617" t="n"/>
      <c r="G23" s="635">
        <f>SUM(G11:G22)</f>
        <v/>
      </c>
      <c r="H23" s="591" t="n"/>
      <c r="I23" s="634" t="inlineStr">
        <is>
          <t xml:space="preserve">Total Expense </t>
        </is>
      </c>
      <c r="J23" s="617" t="n"/>
      <c r="K23" s="635">
        <f>SUM(K11:K22)</f>
        <v/>
      </c>
      <c r="L23" s="591" t="n"/>
      <c r="M23" s="634" t="inlineStr">
        <is>
          <t xml:space="preserve">Total Expense </t>
        </is>
      </c>
      <c r="N23" s="617" t="n"/>
      <c r="O23" s="635">
        <f>SUM(O11:O22)</f>
        <v/>
      </c>
      <c r="P23" s="591" t="n"/>
      <c r="Q23" s="634" t="inlineStr">
        <is>
          <t xml:space="preserve">Total Expense </t>
        </is>
      </c>
      <c r="R23" s="617" t="n"/>
      <c r="S23" s="635">
        <f>SUM(S11:S22)</f>
        <v/>
      </c>
      <c r="U23" s="644" t="inlineStr">
        <is>
          <t xml:space="preserve">Total Expense </t>
        </is>
      </c>
      <c r="V23" s="637" t="n"/>
      <c r="W23" s="645">
        <f>SUM(W11:W14)</f>
        <v/>
      </c>
    </row>
    <row r="24" ht="18.75" customHeight="1" s="562">
      <c r="A24" s="636" t="inlineStr">
        <is>
          <t xml:space="preserve">Income - Expense </t>
        </is>
      </c>
      <c r="B24" s="637" t="n"/>
      <c r="C24" s="638">
        <f>MIN(C4-C23)</f>
        <v/>
      </c>
      <c r="D24" s="591" t="n"/>
      <c r="E24" s="636" t="inlineStr">
        <is>
          <t xml:space="preserve">Income - Expense </t>
        </is>
      </c>
      <c r="F24" s="637" t="n"/>
      <c r="G24" s="638">
        <f>MIN(G4-G23)</f>
        <v/>
      </c>
      <c r="H24" s="591" t="n"/>
      <c r="I24" s="636" t="inlineStr">
        <is>
          <t xml:space="preserve">Income - Expense </t>
        </is>
      </c>
      <c r="J24" s="637" t="n"/>
      <c r="K24" s="638">
        <f>MIN(K4-K23)</f>
        <v/>
      </c>
      <c r="L24" s="591" t="n"/>
      <c r="M24" s="636" t="inlineStr">
        <is>
          <t xml:space="preserve">Income - Expense </t>
        </is>
      </c>
      <c r="N24" s="637" t="n"/>
      <c r="O24" s="638">
        <f>MIN(O4-O23)</f>
        <v/>
      </c>
      <c r="P24" s="591" t="n"/>
      <c r="Q24" s="636" t="inlineStr">
        <is>
          <t xml:space="preserve">Income - Expense </t>
        </is>
      </c>
      <c r="R24" s="637" t="n"/>
      <c r="S24" s="638">
        <f>MIN(S4-S23)</f>
        <v/>
      </c>
      <c r="U24" s="646" t="inlineStr">
        <is>
          <t xml:space="preserve">Income - Expense </t>
        </is>
      </c>
      <c r="V24" s="637" t="n"/>
      <c r="W24" s="647">
        <f>MIN(W8-W23)</f>
        <v/>
      </c>
    </row>
    <row r="26" ht="18.75" customHeight="1" s="562">
      <c r="A26" s="615" t="inlineStr">
        <is>
          <t>Julian Sam</t>
        </is>
      </c>
      <c r="B26" s="613" t="n"/>
      <c r="C26" s="614" t="n"/>
      <c r="E26" s="612" t="inlineStr">
        <is>
          <t>Trevor Botes- monthly</t>
        </is>
      </c>
      <c r="F26" s="613" t="n"/>
      <c r="G26" s="614" t="n"/>
      <c r="I26" s="615" t="inlineStr">
        <is>
          <t>Johann Roos</t>
        </is>
      </c>
      <c r="J26" s="613" t="n"/>
      <c r="K26" s="614" t="n"/>
      <c r="M26" s="615" t="inlineStr">
        <is>
          <t>Dirk Le Roux- monthly</t>
        </is>
      </c>
      <c r="N26" s="613" t="n"/>
      <c r="O26" s="614" t="n"/>
      <c r="Q26" s="615" t="inlineStr">
        <is>
          <t xml:space="preserve">Kotie Jacoba </t>
        </is>
      </c>
      <c r="R26" s="613" t="n"/>
      <c r="S26" s="614" t="n"/>
      <c r="U26" s="615" t="inlineStr">
        <is>
          <t>Christina Botha (Transfer)</t>
        </is>
      </c>
      <c r="V26" s="613" t="n"/>
      <c r="W26" s="614" t="n"/>
    </row>
    <row r="27" ht="18.75" customHeight="1" s="562">
      <c r="A27" s="619" t="inlineStr">
        <is>
          <t xml:space="preserve">Income </t>
        </is>
      </c>
      <c r="B27" s="617" t="n"/>
      <c r="C27" s="618" t="n"/>
      <c r="E27" s="616" t="inlineStr">
        <is>
          <t xml:space="preserve">Income </t>
        </is>
      </c>
      <c r="F27" s="617" t="n"/>
      <c r="G27" s="618" t="n"/>
      <c r="I27" s="619" t="inlineStr">
        <is>
          <t xml:space="preserve">Income </t>
        </is>
      </c>
      <c r="J27" s="617" t="n"/>
      <c r="K27" s="618" t="n"/>
      <c r="M27" s="619" t="inlineStr">
        <is>
          <t xml:space="preserve">Income </t>
        </is>
      </c>
      <c r="N27" s="617" t="n"/>
      <c r="O27" s="618" t="n"/>
      <c r="Q27" s="619" t="inlineStr">
        <is>
          <t xml:space="preserve">Income </t>
        </is>
      </c>
      <c r="R27" s="617" t="n"/>
      <c r="S27" s="618" t="n"/>
      <c r="U27" s="619" t="inlineStr">
        <is>
          <t xml:space="preserve">Income </t>
        </is>
      </c>
      <c r="V27" s="617" t="n"/>
      <c r="W27" s="618" t="n"/>
    </row>
    <row r="28" ht="18" customHeight="1" s="562">
      <c r="A28" s="622" t="inlineStr">
        <is>
          <t>Date:</t>
        </is>
      </c>
      <c r="B28" s="623" t="n"/>
      <c r="C28" s="624" t="inlineStr">
        <is>
          <t xml:space="preserve">Payment </t>
        </is>
      </c>
      <c r="E28" s="620" t="inlineStr">
        <is>
          <t>Date:</t>
        </is>
      </c>
      <c r="F28" s="591" t="n"/>
      <c r="G28" s="621" t="inlineStr">
        <is>
          <t xml:space="preserve">Payment </t>
        </is>
      </c>
      <c r="I28" s="622" t="inlineStr">
        <is>
          <t>Date:</t>
        </is>
      </c>
      <c r="J28" s="623" t="n"/>
      <c r="K28" s="624" t="inlineStr">
        <is>
          <t xml:space="preserve">Payment </t>
        </is>
      </c>
      <c r="M28" s="622" t="inlineStr">
        <is>
          <t>Date:</t>
        </is>
      </c>
      <c r="N28" s="623" t="n"/>
      <c r="O28" s="624" t="inlineStr">
        <is>
          <t xml:space="preserve">Payment </t>
        </is>
      </c>
      <c r="Q28" s="622" t="inlineStr">
        <is>
          <t>Date:</t>
        </is>
      </c>
      <c r="R28" s="623" t="n"/>
      <c r="S28" s="624" t="inlineStr">
        <is>
          <t xml:space="preserve">Payment </t>
        </is>
      </c>
      <c r="U28" s="622" t="inlineStr">
        <is>
          <t>Date:</t>
        </is>
      </c>
      <c r="V28" s="623" t="n"/>
      <c r="W28" s="624" t="inlineStr">
        <is>
          <t xml:space="preserve">Payment </t>
        </is>
      </c>
    </row>
    <row r="29" ht="18" customHeight="1" s="562">
      <c r="A29" s="625" t="n">
        <v>45658</v>
      </c>
      <c r="B29" s="766" t="inlineStr">
        <is>
          <t xml:space="preserve">Invoiced </t>
        </is>
      </c>
      <c r="C29" s="627" t="n">
        <v>2036</v>
      </c>
      <c r="E29" s="625" t="n">
        <v>45662</v>
      </c>
      <c r="F29" s="766" t="inlineStr">
        <is>
          <t xml:space="preserve">invoiced </t>
        </is>
      </c>
      <c r="G29" s="601" t="n">
        <v>14250</v>
      </c>
      <c r="I29" s="625" t="n"/>
      <c r="J29" s="766" t="n"/>
      <c r="K29" s="627" t="n"/>
      <c r="M29" s="628" t="n">
        <v>45658</v>
      </c>
      <c r="N29" s="766" t="inlineStr">
        <is>
          <t>invoiced TCH</t>
        </is>
      </c>
      <c r="O29" s="627" t="n">
        <v>3750</v>
      </c>
      <c r="Q29" s="628" t="n">
        <v>45658</v>
      </c>
      <c r="R29" s="766" t="inlineStr">
        <is>
          <t xml:space="preserve">invocied </t>
        </is>
      </c>
      <c r="S29" s="627" t="n">
        <v>3850</v>
      </c>
      <c r="U29" s="628" t="n">
        <v>46037</v>
      </c>
      <c r="V29" s="766" t="n"/>
      <c r="W29" s="627" t="n">
        <v>700</v>
      </c>
    </row>
    <row r="30" ht="18" customHeight="1" s="562">
      <c r="A30" s="625" t="n">
        <v>46027</v>
      </c>
      <c r="B30" s="766" t="inlineStr">
        <is>
          <t xml:space="preserve">Invoiced </t>
        </is>
      </c>
      <c r="C30" s="627" t="n">
        <v>3393</v>
      </c>
      <c r="E30" s="625" t="n"/>
      <c r="F30" s="766" t="n"/>
      <c r="G30" s="601" t="n"/>
      <c r="I30" s="625" t="n"/>
      <c r="J30" s="766" t="n"/>
      <c r="K30" s="627" t="n"/>
      <c r="M30" s="628" t="n"/>
      <c r="N30" s="766" t="n"/>
      <c r="O30" s="627" t="n"/>
      <c r="Q30" s="628" t="n">
        <v>45662</v>
      </c>
      <c r="R30" s="766" t="inlineStr">
        <is>
          <t xml:space="preserve">invoiced </t>
        </is>
      </c>
      <c r="S30" s="627" t="n">
        <v>3750</v>
      </c>
      <c r="U30" s="628" t="n"/>
      <c r="V30" s="766" t="n"/>
      <c r="W30" s="627" t="n"/>
    </row>
    <row r="31" ht="18" customHeight="1" s="562">
      <c r="A31" s="625" t="n">
        <v>46030</v>
      </c>
      <c r="B31" s="766" t="inlineStr">
        <is>
          <t xml:space="preserve">Invoiced </t>
        </is>
      </c>
      <c r="C31" s="627" t="n">
        <v>2715</v>
      </c>
      <c r="E31" s="625" t="n"/>
      <c r="F31" s="766" t="n"/>
      <c r="G31" s="601" t="n"/>
      <c r="I31" s="625" t="n"/>
      <c r="J31" s="626" t="n"/>
      <c r="K31" s="624" t="n"/>
      <c r="M31" s="628" t="n"/>
      <c r="N31" s="626" t="n"/>
      <c r="O31" s="624" t="n"/>
      <c r="Q31" s="628" t="n">
        <v>46030</v>
      </c>
      <c r="R31" s="766" t="inlineStr">
        <is>
          <t xml:space="preserve">invocied </t>
        </is>
      </c>
      <c r="S31" s="627" t="n">
        <v>600</v>
      </c>
      <c r="U31" s="628" t="n"/>
      <c r="V31" s="766" t="n"/>
      <c r="W31" s="627" t="n"/>
    </row>
    <row r="32" ht="18.75" customHeight="1" s="562">
      <c r="A32" s="625" t="n">
        <v>46046</v>
      </c>
      <c r="B32" s="766" t="inlineStr">
        <is>
          <t xml:space="preserve">Invoiced </t>
        </is>
      </c>
      <c r="C32" s="639" t="n">
        <v>2036</v>
      </c>
      <c r="E32" s="625" t="n"/>
      <c r="F32" s="609" t="n"/>
      <c r="G32" s="861" t="n"/>
      <c r="I32" s="625" t="n"/>
      <c r="J32" s="626" t="n"/>
      <c r="K32" s="624" t="n"/>
      <c r="M32" s="628" t="n"/>
      <c r="N32" s="626" t="n"/>
      <c r="O32" s="624" t="n"/>
      <c r="Q32" s="628" t="n"/>
      <c r="R32" s="626" t="n"/>
      <c r="S32" s="624" t="n"/>
      <c r="U32" s="628" t="n"/>
      <c r="V32" s="626" t="n"/>
      <c r="W32" s="624" t="n"/>
    </row>
    <row r="33" ht="18.75" customHeight="1" s="562">
      <c r="A33" s="622" t="n"/>
      <c r="B33" s="623" t="n"/>
      <c r="C33" s="631">
        <f>SUM(C29:C32)</f>
        <v/>
      </c>
      <c r="E33" s="620" t="n"/>
      <c r="F33" s="591" t="n"/>
      <c r="G33" s="642">
        <f>SUM(G29:G32)</f>
        <v/>
      </c>
      <c r="I33" s="622" t="n"/>
      <c r="J33" s="623" t="n"/>
      <c r="K33" s="631">
        <f>SUM(K29:K32)</f>
        <v/>
      </c>
      <c r="M33" s="622" t="n"/>
      <c r="N33" s="623" t="n"/>
      <c r="O33" s="631">
        <f>SUM(O29:O32)</f>
        <v/>
      </c>
      <c r="Q33" s="622" t="n"/>
      <c r="R33" s="623" t="n"/>
      <c r="S33" s="631">
        <f>SUM(S29:S32)</f>
        <v/>
      </c>
      <c r="U33" s="622" t="n"/>
      <c r="V33" s="623" t="n"/>
      <c r="W33" s="631">
        <f>SUM(W29:W32)</f>
        <v/>
      </c>
    </row>
    <row r="34" ht="18.75" customHeight="1" s="562">
      <c r="A34" s="633" t="inlineStr">
        <is>
          <t xml:space="preserve">Expenses </t>
        </is>
      </c>
      <c r="B34" s="617" t="n"/>
      <c r="C34" s="618" t="n"/>
      <c r="E34" s="632" t="inlineStr">
        <is>
          <t xml:space="preserve">Expenses </t>
        </is>
      </c>
      <c r="F34" s="617" t="n"/>
      <c r="G34" s="618" t="n"/>
      <c r="I34" s="643" t="inlineStr">
        <is>
          <t xml:space="preserve">Expenses </t>
        </is>
      </c>
      <c r="J34" s="617" t="n"/>
      <c r="K34" s="618" t="n"/>
      <c r="M34" s="643" t="inlineStr">
        <is>
          <t xml:space="preserve">Expenses </t>
        </is>
      </c>
      <c r="N34" s="617" t="n"/>
      <c r="O34" s="618" t="n"/>
      <c r="Q34" s="643" t="inlineStr">
        <is>
          <t xml:space="preserve">Expenses </t>
        </is>
      </c>
      <c r="R34" s="617" t="n"/>
      <c r="S34" s="618" t="n"/>
      <c r="U34" s="643" t="inlineStr">
        <is>
          <t xml:space="preserve">Expenses </t>
        </is>
      </c>
      <c r="V34" s="617" t="n"/>
      <c r="W34" s="618" t="n"/>
    </row>
    <row r="35" ht="18" customHeight="1" s="562">
      <c r="A35" s="622" t="inlineStr">
        <is>
          <t>Date:</t>
        </is>
      </c>
      <c r="B35" s="623" t="inlineStr">
        <is>
          <t xml:space="preserve">Expense Name </t>
        </is>
      </c>
      <c r="C35" s="624" t="inlineStr">
        <is>
          <t xml:space="preserve">Amount </t>
        </is>
      </c>
      <c r="E35" s="620" t="inlineStr">
        <is>
          <t>Date:</t>
        </is>
      </c>
      <c r="F35" s="591" t="inlineStr">
        <is>
          <t xml:space="preserve">Expense Name </t>
        </is>
      </c>
      <c r="G35" s="621" t="inlineStr">
        <is>
          <t xml:space="preserve">Amount </t>
        </is>
      </c>
      <c r="I35" s="622" t="inlineStr">
        <is>
          <t>Date:</t>
        </is>
      </c>
      <c r="J35" s="623" t="inlineStr">
        <is>
          <t xml:space="preserve">Expense Name </t>
        </is>
      </c>
      <c r="K35" s="624" t="inlineStr">
        <is>
          <t xml:space="preserve">Amount </t>
        </is>
      </c>
      <c r="M35" s="622" t="inlineStr">
        <is>
          <t>Date:</t>
        </is>
      </c>
      <c r="N35" s="623" t="inlineStr">
        <is>
          <t xml:space="preserve">Expense Name </t>
        </is>
      </c>
      <c r="O35" s="624" t="inlineStr">
        <is>
          <t xml:space="preserve">Amount </t>
        </is>
      </c>
      <c r="Q35" s="622" t="inlineStr">
        <is>
          <t>Date:</t>
        </is>
      </c>
      <c r="R35" s="623" t="inlineStr">
        <is>
          <t xml:space="preserve">Expense Name </t>
        </is>
      </c>
      <c r="S35" s="624" t="inlineStr">
        <is>
          <t xml:space="preserve">Amount </t>
        </is>
      </c>
      <c r="U35" s="622" t="inlineStr">
        <is>
          <t>Date:</t>
        </is>
      </c>
      <c r="V35" s="623" t="inlineStr">
        <is>
          <t xml:space="preserve">Expense Name </t>
        </is>
      </c>
      <c r="W35" s="624" t="inlineStr">
        <is>
          <t xml:space="preserve">Amount </t>
        </is>
      </c>
    </row>
    <row r="36" ht="18" customHeight="1" s="562">
      <c r="A36" s="625" t="n">
        <v>45992</v>
      </c>
      <c r="B36" s="591" t="inlineStr">
        <is>
          <t xml:space="preserve">Siphe </t>
        </is>
      </c>
      <c r="C36" s="621" t="n"/>
      <c r="E36" s="625" t="n">
        <v>45992</v>
      </c>
      <c r="F36" s="591" t="inlineStr">
        <is>
          <t>Siphilisiwe (Patrica)</t>
        </is>
      </c>
      <c r="G36" s="621" t="n"/>
      <c r="I36" s="625" t="n">
        <v>45992</v>
      </c>
      <c r="J36" s="623" t="n"/>
      <c r="K36" s="624" t="n"/>
      <c r="M36" s="625" t="n">
        <v>45992</v>
      </c>
      <c r="N36" s="623" t="n"/>
      <c r="O36" s="624" t="n"/>
      <c r="Q36" s="628" t="n">
        <v>45658</v>
      </c>
      <c r="R36" s="623" t="n"/>
      <c r="S36" s="624" t="n"/>
      <c r="U36" s="628" t="n">
        <v>45658</v>
      </c>
      <c r="V36" s="623" t="inlineStr">
        <is>
          <t xml:space="preserve">Lina </t>
        </is>
      </c>
      <c r="W36" s="624" t="n"/>
    </row>
    <row r="37" ht="18" customHeight="1" s="562">
      <c r="A37" s="625" t="n">
        <v>45992</v>
      </c>
      <c r="B37" s="591" t="n"/>
      <c r="C37" s="621" t="n"/>
      <c r="E37" s="628" t="n"/>
      <c r="G37" s="621" t="n"/>
      <c r="I37" s="628" t="n"/>
      <c r="J37" s="623" t="n"/>
      <c r="K37" s="624" t="n"/>
      <c r="M37" s="628" t="n"/>
      <c r="N37" s="623" t="n"/>
      <c r="O37" s="624" t="n"/>
      <c r="Q37" s="628" t="n"/>
      <c r="R37" s="623" t="n"/>
      <c r="S37" s="624" t="n"/>
      <c r="U37" s="628" t="n"/>
      <c r="V37" s="623" t="n"/>
      <c r="W37" s="624" t="n"/>
    </row>
    <row r="38" ht="18" customHeight="1" s="562">
      <c r="A38" s="620" t="n"/>
      <c r="B38" s="591" t="n"/>
      <c r="C38" s="621" t="n"/>
      <c r="E38" s="628" t="n"/>
      <c r="F38" s="591" t="n"/>
      <c r="G38" s="621" t="n"/>
      <c r="I38" s="628" t="n"/>
      <c r="J38" s="623" t="n"/>
      <c r="K38" s="624" t="n"/>
      <c r="M38" s="628" t="n"/>
      <c r="N38" s="623" t="n"/>
      <c r="O38" s="624" t="n"/>
      <c r="Q38" s="628" t="n"/>
      <c r="R38" s="623" t="n"/>
      <c r="S38" s="624" t="n"/>
      <c r="U38" s="628" t="n"/>
      <c r="V38" s="623" t="n"/>
      <c r="W38" s="624" t="n"/>
    </row>
    <row r="39" ht="18" customHeight="1" s="562">
      <c r="A39" s="620" t="n"/>
      <c r="B39" s="591" t="n"/>
      <c r="C39" s="621" t="n"/>
      <c r="E39" s="620" t="n"/>
      <c r="F39" s="591" t="n"/>
      <c r="G39" s="621" t="n"/>
      <c r="I39" s="622" t="n"/>
      <c r="J39" s="623" t="n"/>
      <c r="K39" s="624" t="n"/>
      <c r="M39" s="622" t="n"/>
      <c r="N39" s="623" t="n"/>
      <c r="O39" s="624" t="n"/>
      <c r="Q39" s="622" t="n"/>
      <c r="R39" s="623" t="n"/>
      <c r="S39" s="624" t="n"/>
      <c r="U39" s="622" t="n"/>
      <c r="V39" s="623" t="n"/>
      <c r="W39" s="624" t="n"/>
    </row>
    <row r="40" ht="18" customHeight="1" s="562">
      <c r="A40" s="620" t="n"/>
      <c r="B40" s="591" t="n"/>
      <c r="C40" s="621" t="n"/>
      <c r="E40" s="620" t="n"/>
      <c r="F40" s="591" t="n"/>
      <c r="G40" s="621" t="n"/>
      <c r="I40" s="622" t="n"/>
      <c r="J40" s="623" t="n"/>
      <c r="K40" s="624" t="n"/>
      <c r="M40" s="622" t="n"/>
      <c r="N40" s="623" t="n"/>
      <c r="O40" s="624" t="n"/>
      <c r="Q40" s="622" t="n"/>
      <c r="R40" s="623" t="n"/>
      <c r="S40" s="624" t="n"/>
      <c r="U40" s="622" t="n"/>
      <c r="V40" s="623" t="n"/>
      <c r="W40" s="624" t="n"/>
    </row>
    <row r="41" ht="18" customHeight="1" s="562">
      <c r="A41" s="620" t="n"/>
      <c r="B41" s="591" t="n"/>
      <c r="C41" s="621" t="n"/>
      <c r="E41" s="620" t="n"/>
      <c r="F41" s="591" t="n"/>
      <c r="G41" s="621" t="n"/>
      <c r="I41" s="622" t="n"/>
      <c r="J41" s="623" t="n"/>
      <c r="K41" s="624" t="n"/>
      <c r="M41" s="622" t="n"/>
      <c r="N41" s="623" t="n"/>
      <c r="O41" s="624" t="n"/>
      <c r="Q41" s="622" t="n"/>
      <c r="R41" s="623" t="n"/>
      <c r="S41" s="624" t="n"/>
      <c r="U41" s="622" t="n"/>
      <c r="V41" s="623" t="n"/>
      <c r="W41" s="624" t="n"/>
    </row>
    <row r="42" ht="18" customHeight="1" s="562">
      <c r="A42" s="620" t="n"/>
      <c r="B42" s="591" t="n"/>
      <c r="C42" s="621" t="n"/>
      <c r="E42" s="620" t="n"/>
      <c r="F42" s="591" t="n"/>
      <c r="G42" s="621" t="n"/>
      <c r="I42" s="622" t="n"/>
      <c r="J42" s="623" t="n"/>
      <c r="K42" s="624" t="n"/>
      <c r="M42" s="622" t="n"/>
      <c r="N42" s="623" t="n"/>
      <c r="O42" s="624" t="n"/>
      <c r="Q42" s="622" t="n"/>
      <c r="R42" s="623" t="n"/>
      <c r="S42" s="624" t="n"/>
      <c r="U42" s="622" t="n"/>
      <c r="V42" s="623" t="n"/>
      <c r="W42" s="624" t="n"/>
    </row>
    <row r="43" ht="18" customHeight="1" s="562">
      <c r="A43" s="620" t="n"/>
      <c r="B43" s="591" t="n"/>
      <c r="C43" s="621" t="n"/>
      <c r="E43" s="620" t="n"/>
      <c r="F43" s="591" t="n"/>
      <c r="G43" s="621" t="n"/>
      <c r="I43" s="622" t="n"/>
      <c r="J43" s="623" t="n"/>
      <c r="K43" s="624" t="n"/>
      <c r="M43" s="622" t="n"/>
      <c r="N43" s="623" t="n"/>
      <c r="O43" s="624" t="n"/>
      <c r="Q43" s="622" t="n"/>
      <c r="R43" s="623" t="n"/>
      <c r="S43" s="624" t="n"/>
      <c r="U43" s="622" t="n"/>
      <c r="V43" s="623" t="n"/>
      <c r="W43" s="624" t="n"/>
    </row>
    <row r="44" ht="18" customHeight="1" s="562">
      <c r="A44" s="620" t="n"/>
      <c r="B44" s="591" t="n"/>
      <c r="C44" s="621" t="n"/>
      <c r="E44" s="620" t="n"/>
      <c r="F44" s="591" t="n"/>
      <c r="G44" s="621" t="n"/>
      <c r="I44" s="622" t="n"/>
      <c r="J44" s="623" t="n"/>
      <c r="K44" s="624" t="n"/>
      <c r="M44" s="622" t="n"/>
      <c r="N44" s="623" t="n"/>
      <c r="O44" s="624" t="n"/>
      <c r="Q44" s="622" t="n"/>
      <c r="R44" s="623" t="n"/>
      <c r="S44" s="624" t="n"/>
      <c r="U44" s="622" t="n"/>
      <c r="V44" s="623" t="n"/>
      <c r="W44" s="624" t="n"/>
    </row>
    <row r="45" ht="18" customHeight="1" s="562">
      <c r="A45" s="620" t="n"/>
      <c r="B45" s="591" t="n"/>
      <c r="C45" s="621" t="n"/>
      <c r="E45" s="620" t="n"/>
      <c r="F45" s="591" t="n"/>
      <c r="G45" s="621" t="n"/>
      <c r="I45" s="622" t="n"/>
      <c r="J45" s="623" t="n"/>
      <c r="K45" s="624" t="n"/>
      <c r="M45" s="622" t="n"/>
      <c r="N45" s="623" t="n"/>
      <c r="O45" s="624" t="n"/>
      <c r="Q45" s="622" t="n"/>
      <c r="R45" s="623" t="n"/>
      <c r="S45" s="624" t="n"/>
      <c r="U45" s="622" t="n"/>
      <c r="V45" s="623" t="n"/>
      <c r="W45" s="624" t="n"/>
    </row>
    <row r="46" ht="18" customHeight="1" s="562">
      <c r="A46" s="620" t="n"/>
      <c r="B46" s="591" t="n"/>
      <c r="C46" s="621" t="n"/>
      <c r="E46" s="620" t="n"/>
      <c r="F46" s="591" t="n"/>
      <c r="G46" s="621" t="n"/>
      <c r="I46" s="622" t="n"/>
      <c r="J46" s="623" t="n"/>
      <c r="K46" s="624" t="n"/>
      <c r="M46" s="622" t="n"/>
      <c r="N46" s="623" t="n"/>
      <c r="O46" s="624" t="n"/>
      <c r="Q46" s="622" t="n"/>
      <c r="R46" s="623" t="n"/>
      <c r="S46" s="624" t="n"/>
      <c r="U46" s="622" t="n"/>
      <c r="V46" s="623" t="n"/>
      <c r="W46" s="624" t="n"/>
    </row>
    <row r="47" ht="18.75" customHeight="1" s="562">
      <c r="A47" s="620" t="n"/>
      <c r="B47" s="591" t="n"/>
      <c r="C47" s="621" t="n"/>
      <c r="E47" s="620" t="n"/>
      <c r="F47" s="591" t="n"/>
      <c r="G47" s="621" t="n"/>
      <c r="I47" s="622" t="n"/>
      <c r="J47" s="623" t="n"/>
      <c r="K47" s="624" t="n"/>
      <c r="M47" s="622" t="n"/>
      <c r="N47" s="623" t="n"/>
      <c r="O47" s="624" t="n"/>
      <c r="Q47" s="622" t="n"/>
      <c r="R47" s="623" t="n"/>
      <c r="S47" s="624" t="n"/>
      <c r="U47" s="622" t="n"/>
      <c r="V47" s="623" t="n"/>
      <c r="W47" s="624" t="n"/>
    </row>
    <row r="48" ht="18.75" customHeight="1" s="562">
      <c r="A48" s="634" t="inlineStr">
        <is>
          <t xml:space="preserve">Total Expense </t>
        </is>
      </c>
      <c r="B48" s="617" t="n"/>
      <c r="C48" s="635">
        <f>SUM(C36:C47)</f>
        <v/>
      </c>
      <c r="E48" s="634" t="inlineStr">
        <is>
          <t xml:space="preserve">Total Expense </t>
        </is>
      </c>
      <c r="F48" s="617" t="n"/>
      <c r="G48" s="635">
        <f>SUM(G36:G47)</f>
        <v/>
      </c>
      <c r="I48" s="644" t="inlineStr">
        <is>
          <t xml:space="preserve">Total Expense </t>
        </is>
      </c>
      <c r="J48" s="637" t="n"/>
      <c r="K48" s="645" t="n"/>
      <c r="M48" s="644" t="inlineStr">
        <is>
          <t xml:space="preserve">Total Expense </t>
        </is>
      </c>
      <c r="N48" s="637" t="n"/>
      <c r="O48" s="645" t="n"/>
      <c r="Q48" s="644" t="inlineStr">
        <is>
          <t xml:space="preserve">Total Expense </t>
        </is>
      </c>
      <c r="R48" s="637" t="n"/>
      <c r="S48" s="645" t="n">
        <v>14838</v>
      </c>
      <c r="U48" s="644" t="inlineStr">
        <is>
          <t xml:space="preserve">Total Expense </t>
        </is>
      </c>
      <c r="V48" s="637" t="n"/>
      <c r="W48" s="645" t="n">
        <v>14838</v>
      </c>
    </row>
    <row r="49" ht="18.75" customHeight="1" s="562">
      <c r="A49" s="636" t="inlineStr">
        <is>
          <t xml:space="preserve">Income - Expense </t>
        </is>
      </c>
      <c r="B49" s="637" t="n"/>
      <c r="C49" s="638">
        <f>MIN(C29-C48)</f>
        <v/>
      </c>
      <c r="E49" s="636" t="inlineStr">
        <is>
          <t xml:space="preserve">Income - Expense </t>
        </is>
      </c>
      <c r="F49" s="637" t="n"/>
      <c r="G49" s="638">
        <f>MIN(G29-G48)</f>
        <v/>
      </c>
      <c r="I49" s="646" t="inlineStr">
        <is>
          <t xml:space="preserve">Income - Expense </t>
        </is>
      </c>
      <c r="J49" s="637" t="n"/>
      <c r="K49" s="647" t="n"/>
      <c r="M49" s="646" t="inlineStr">
        <is>
          <t xml:space="preserve">Income - Expense </t>
        </is>
      </c>
      <c r="N49" s="637" t="n"/>
      <c r="O49" s="647" t="n"/>
      <c r="Q49" s="646" t="inlineStr">
        <is>
          <t xml:space="preserve">Income - Expense </t>
        </is>
      </c>
      <c r="R49" s="637" t="n"/>
      <c r="S49" s="647" t="n">
        <v>7362</v>
      </c>
      <c r="U49" s="646" t="inlineStr">
        <is>
          <t xml:space="preserve">Income - Expense </t>
        </is>
      </c>
      <c r="V49" s="637" t="n"/>
      <c r="W49" s="647" t="n">
        <v>7362</v>
      </c>
    </row>
    <row r="51" ht="18.75" customHeight="1" s="562">
      <c r="A51" s="615" t="inlineStr">
        <is>
          <t xml:space="preserve">Julia Ann </t>
        </is>
      </c>
      <c r="B51" s="613" t="n"/>
      <c r="C51" s="614" t="n"/>
      <c r="E51" s="615" t="inlineStr">
        <is>
          <t>Mia Rus- monthly</t>
        </is>
      </c>
      <c r="F51" s="613" t="n"/>
      <c r="G51" s="614" t="n"/>
      <c r="I51" s="615" t="inlineStr">
        <is>
          <t>Johanna Van Heerden- monthly</t>
        </is>
      </c>
      <c r="J51" s="613" t="n"/>
      <c r="K51" s="614" t="n"/>
      <c r="M51" s="615" t="inlineStr">
        <is>
          <t>Andre Theron- monthly</t>
        </is>
      </c>
      <c r="N51" s="613" t="n"/>
      <c r="O51" s="614" t="n"/>
      <c r="Q51" s="615" t="inlineStr">
        <is>
          <t>Angela/ Dimitri Paoadopoulos- weekly</t>
        </is>
      </c>
      <c r="R51" s="613" t="n"/>
      <c r="S51" s="614" t="n"/>
      <c r="U51" s="615" t="inlineStr">
        <is>
          <t>Du Plessis</t>
        </is>
      </c>
      <c r="V51" s="613" t="n"/>
      <c r="W51" s="614" t="n"/>
    </row>
    <row r="52" ht="18.75" customHeight="1" s="562">
      <c r="A52" s="619" t="inlineStr">
        <is>
          <t xml:space="preserve">Income </t>
        </is>
      </c>
      <c r="B52" s="617" t="n"/>
      <c r="C52" s="618" t="n"/>
      <c r="E52" s="619" t="inlineStr">
        <is>
          <t xml:space="preserve">Income </t>
        </is>
      </c>
      <c r="F52" s="617" t="n"/>
      <c r="G52" s="618" t="n"/>
      <c r="I52" s="619" t="inlineStr">
        <is>
          <t xml:space="preserve">Income </t>
        </is>
      </c>
      <c r="J52" s="617" t="n"/>
      <c r="K52" s="618" t="n"/>
      <c r="M52" s="619" t="inlineStr">
        <is>
          <t xml:space="preserve">Income </t>
        </is>
      </c>
      <c r="N52" s="617" t="n"/>
      <c r="O52" s="618" t="n"/>
      <c r="Q52" s="619" t="inlineStr">
        <is>
          <t xml:space="preserve">Income </t>
        </is>
      </c>
      <c r="R52" s="617" t="n"/>
      <c r="S52" s="618" t="n"/>
      <c r="U52" s="619" t="inlineStr">
        <is>
          <t xml:space="preserve">Income </t>
        </is>
      </c>
      <c r="V52" s="617" t="n"/>
      <c r="W52" s="618" t="n"/>
    </row>
    <row r="53" ht="18" customHeight="1" s="562">
      <c r="A53" s="622" t="inlineStr">
        <is>
          <t>Date:</t>
        </is>
      </c>
      <c r="B53" s="623" t="n"/>
      <c r="C53" s="624" t="inlineStr">
        <is>
          <t xml:space="preserve">Payment </t>
        </is>
      </c>
      <c r="E53" s="622" t="inlineStr">
        <is>
          <t>Date:</t>
        </is>
      </c>
      <c r="F53" s="623" t="n"/>
      <c r="G53" s="624" t="inlineStr">
        <is>
          <t xml:space="preserve">Payment </t>
        </is>
      </c>
      <c r="I53" s="622" t="inlineStr">
        <is>
          <t>Date:</t>
        </is>
      </c>
      <c r="J53" s="623" t="n"/>
      <c r="K53" s="624" t="inlineStr">
        <is>
          <t xml:space="preserve">Payment </t>
        </is>
      </c>
      <c r="M53" s="622" t="inlineStr">
        <is>
          <t>Date:</t>
        </is>
      </c>
      <c r="N53" s="623" t="n"/>
      <c r="O53" s="624" t="inlineStr">
        <is>
          <t xml:space="preserve">Payment </t>
        </is>
      </c>
      <c r="Q53" s="622" t="inlineStr">
        <is>
          <t>Date:</t>
        </is>
      </c>
      <c r="R53" s="623" t="n"/>
      <c r="S53" s="624" t="inlineStr">
        <is>
          <t xml:space="preserve">Payment </t>
        </is>
      </c>
      <c r="U53" s="622" t="inlineStr">
        <is>
          <t>Date:</t>
        </is>
      </c>
      <c r="V53" s="623" t="n"/>
      <c r="W53" s="624" t="inlineStr">
        <is>
          <t xml:space="preserve">Payment </t>
        </is>
      </c>
    </row>
    <row r="54" ht="18" customHeight="1" s="562">
      <c r="A54" s="628" t="n">
        <v>46027</v>
      </c>
      <c r="B54" s="766" t="inlineStr">
        <is>
          <t xml:space="preserve">invoiced </t>
        </is>
      </c>
      <c r="C54" s="627" t="n">
        <v>6000</v>
      </c>
      <c r="E54" s="862" t="n">
        <v>46029</v>
      </c>
      <c r="F54" s="863" t="inlineStr">
        <is>
          <t xml:space="preserve">invoiced </t>
        </is>
      </c>
      <c r="G54" s="627" t="n">
        <v>11900</v>
      </c>
      <c r="I54" s="628" t="n">
        <v>45658</v>
      </c>
      <c r="J54" s="766" t="inlineStr">
        <is>
          <t>Invoiced TCH</t>
        </is>
      </c>
      <c r="K54" s="627" t="n">
        <v>23250</v>
      </c>
      <c r="M54" s="628" t="n">
        <v>45658</v>
      </c>
      <c r="N54" s="766" t="inlineStr">
        <is>
          <t xml:space="preserve">invoiced </t>
        </is>
      </c>
      <c r="O54" s="627" t="n">
        <v>5450</v>
      </c>
      <c r="Q54" s="628" t="n">
        <v>45658</v>
      </c>
      <c r="R54" s="766" t="inlineStr">
        <is>
          <t xml:space="preserve">invoiced </t>
        </is>
      </c>
      <c r="S54" s="627" t="n">
        <v>6650</v>
      </c>
      <c r="U54" s="628" t="n">
        <v>46042</v>
      </c>
      <c r="V54" s="766" t="inlineStr">
        <is>
          <t xml:space="preserve">invoiced </t>
        </is>
      </c>
      <c r="W54" s="627" t="n">
        <v>5114</v>
      </c>
    </row>
    <row r="55" ht="18" customHeight="1" s="562">
      <c r="A55" s="628" t="n">
        <v>46031</v>
      </c>
      <c r="B55" s="766" t="inlineStr">
        <is>
          <t xml:space="preserve">invoiced </t>
        </is>
      </c>
      <c r="C55" s="627" t="n">
        <v>12000</v>
      </c>
      <c r="E55" s="627" t="n"/>
      <c r="F55" s="627" t="n"/>
      <c r="G55" s="627" t="n"/>
      <c r="I55" s="628" t="n"/>
      <c r="J55" s="766" t="n"/>
      <c r="K55" s="624" t="n"/>
      <c r="M55" s="628" t="n">
        <v>46030</v>
      </c>
      <c r="N55" s="766" t="inlineStr">
        <is>
          <t xml:space="preserve">invoiced </t>
        </is>
      </c>
      <c r="O55" s="627" t="n">
        <v>12750</v>
      </c>
      <c r="Q55" s="628" t="n">
        <v>46030</v>
      </c>
      <c r="R55" s="766" t="inlineStr">
        <is>
          <t xml:space="preserve">invoiced </t>
        </is>
      </c>
      <c r="S55" s="627" t="n">
        <v>6650</v>
      </c>
      <c r="U55" s="628" t="n"/>
      <c r="V55" s="766" t="n"/>
      <c r="W55" s="627" t="n"/>
    </row>
    <row r="56" ht="18" customHeight="1" s="562">
      <c r="A56" s="628" t="n"/>
      <c r="B56" s="626" t="n"/>
      <c r="C56" s="627" t="n"/>
      <c r="E56" s="627" t="n"/>
      <c r="F56" s="627" t="n"/>
      <c r="G56" s="627" t="n"/>
      <c r="I56" s="628" t="n"/>
      <c r="K56" s="624" t="n"/>
      <c r="M56" s="628" t="n"/>
      <c r="O56" s="624" t="n"/>
      <c r="Q56" s="628" t="n">
        <v>46034</v>
      </c>
      <c r="R56" s="766" t="inlineStr">
        <is>
          <t xml:space="preserve">invoiced </t>
        </is>
      </c>
      <c r="S56" s="627" t="n">
        <v>6650</v>
      </c>
      <c r="U56" s="628" t="n"/>
      <c r="W56" s="624" t="n"/>
    </row>
    <row r="57" ht="18" customHeight="1" s="562">
      <c r="A57" s="628" t="n"/>
      <c r="B57" s="626" t="n"/>
      <c r="C57" s="624" t="n"/>
      <c r="E57" s="627" t="n"/>
      <c r="F57" s="627" t="n"/>
      <c r="G57" s="627" t="n"/>
      <c r="I57" s="628" t="n"/>
      <c r="J57" s="626" t="n"/>
      <c r="K57" s="624" t="n"/>
      <c r="M57" s="628" t="n"/>
      <c r="N57" s="626" t="n"/>
      <c r="O57" s="624" t="n"/>
      <c r="Q57" s="628" t="n">
        <v>46044</v>
      </c>
      <c r="R57" s="766" t="inlineStr">
        <is>
          <t xml:space="preserve">invoiced </t>
        </is>
      </c>
      <c r="S57" s="627" t="n">
        <v>6650</v>
      </c>
      <c r="U57" s="628" t="n"/>
      <c r="V57" s="626" t="n"/>
      <c r="W57" s="624" t="n"/>
    </row>
    <row r="58" ht="18.75" customHeight="1" s="562">
      <c r="A58" s="628" t="n"/>
      <c r="B58" s="626" t="n"/>
      <c r="C58" s="626" t="n"/>
      <c r="E58" s="627" t="n"/>
      <c r="F58" s="627" t="n"/>
      <c r="G58" s="627" t="n"/>
      <c r="I58" s="628" t="n"/>
      <c r="J58" s="626" t="n"/>
      <c r="K58" s="626" t="n"/>
      <c r="M58" s="628" t="n"/>
      <c r="N58" s="626" t="n"/>
      <c r="O58" s="626" t="n"/>
      <c r="Q58" s="628" t="n">
        <v>46051</v>
      </c>
      <c r="R58" s="766" t="inlineStr">
        <is>
          <t xml:space="preserve">invoiced </t>
        </is>
      </c>
      <c r="S58" s="627" t="n">
        <v>6650</v>
      </c>
      <c r="U58" s="628" t="n"/>
      <c r="V58" s="626" t="n"/>
      <c r="W58" s="626" t="n"/>
    </row>
    <row r="59" ht="18.75" customHeight="1" s="562">
      <c r="A59" s="622" t="n"/>
      <c r="B59" s="623" t="n"/>
      <c r="C59" s="631">
        <f>SUM(C54:C57)</f>
        <v/>
      </c>
      <c r="E59" s="627" t="n"/>
      <c r="F59" s="627" t="n"/>
      <c r="G59" s="627">
        <f>SUM(G54:G58)</f>
        <v/>
      </c>
      <c r="I59" s="622" t="n"/>
      <c r="J59" s="623" t="n"/>
      <c r="K59" s="631">
        <f>SUM(K54:K57)</f>
        <v/>
      </c>
      <c r="M59" s="622" t="n"/>
      <c r="N59" s="623" t="n"/>
      <c r="O59" s="631">
        <f>SUM(O54:O57)</f>
        <v/>
      </c>
      <c r="Q59" s="622" t="n"/>
      <c r="R59" s="623" t="n"/>
      <c r="S59" s="630">
        <f>SUM(S54:S58)</f>
        <v/>
      </c>
      <c r="U59" s="622" t="n"/>
      <c r="V59" s="623" t="n"/>
      <c r="W59" s="631">
        <f>SUM(W54:W57)</f>
        <v/>
      </c>
    </row>
    <row r="60" ht="18.75" customHeight="1" s="562">
      <c r="A60" s="643" t="inlineStr">
        <is>
          <t xml:space="preserve">Expenses </t>
        </is>
      </c>
      <c r="B60" s="617" t="n"/>
      <c r="C60" s="618" t="n"/>
      <c r="E60" s="643" t="inlineStr">
        <is>
          <t xml:space="preserve">Expenses </t>
        </is>
      </c>
      <c r="F60" s="617" t="n"/>
      <c r="G60" s="618" t="n"/>
      <c r="I60" s="643" t="inlineStr">
        <is>
          <t xml:space="preserve">Expenses </t>
        </is>
      </c>
      <c r="J60" s="617" t="n"/>
      <c r="K60" s="618" t="n"/>
      <c r="M60" s="643" t="inlineStr">
        <is>
          <t xml:space="preserve">Expenses </t>
        </is>
      </c>
      <c r="N60" s="617" t="n"/>
      <c r="O60" s="618" t="n"/>
      <c r="Q60" s="643" t="inlineStr">
        <is>
          <t xml:space="preserve">Expenses </t>
        </is>
      </c>
      <c r="R60" s="617" t="n"/>
      <c r="S60" s="618" t="n"/>
      <c r="U60" s="643" t="inlineStr">
        <is>
          <t xml:space="preserve">Expenses </t>
        </is>
      </c>
      <c r="V60" s="617" t="n"/>
      <c r="W60" s="618" t="n"/>
    </row>
    <row r="61" ht="18" customHeight="1" s="562">
      <c r="A61" s="622" t="inlineStr">
        <is>
          <t>Date:</t>
        </is>
      </c>
      <c r="B61" s="623" t="inlineStr">
        <is>
          <t xml:space="preserve">Expense Name </t>
        </is>
      </c>
      <c r="C61" s="624" t="inlineStr">
        <is>
          <t xml:space="preserve">Amount </t>
        </is>
      </c>
      <c r="E61" s="622" t="inlineStr">
        <is>
          <t>Date:</t>
        </is>
      </c>
      <c r="F61" s="623" t="inlineStr">
        <is>
          <t xml:space="preserve">Expense Name </t>
        </is>
      </c>
      <c r="G61" s="624" t="inlineStr">
        <is>
          <t xml:space="preserve">Amount </t>
        </is>
      </c>
      <c r="I61" s="622" t="inlineStr">
        <is>
          <t>Date:</t>
        </is>
      </c>
      <c r="J61" s="623" t="inlineStr">
        <is>
          <t xml:space="preserve">Expense Name </t>
        </is>
      </c>
      <c r="K61" s="624" t="inlineStr">
        <is>
          <t xml:space="preserve">Amount </t>
        </is>
      </c>
      <c r="M61" s="622" t="inlineStr">
        <is>
          <t>Date:</t>
        </is>
      </c>
      <c r="N61" s="623" t="inlineStr">
        <is>
          <t xml:space="preserve">Expense Name </t>
        </is>
      </c>
      <c r="O61" s="624" t="inlineStr">
        <is>
          <t xml:space="preserve">Amount </t>
        </is>
      </c>
      <c r="Q61" s="622" t="inlineStr">
        <is>
          <t>Date:</t>
        </is>
      </c>
      <c r="R61" s="623" t="inlineStr">
        <is>
          <t xml:space="preserve">Expense Name </t>
        </is>
      </c>
      <c r="S61" s="624" t="inlineStr">
        <is>
          <t xml:space="preserve">Amount </t>
        </is>
      </c>
      <c r="U61" s="622" t="inlineStr">
        <is>
          <t>Date:</t>
        </is>
      </c>
      <c r="V61" s="623" t="inlineStr">
        <is>
          <t xml:space="preserve">Expense Name </t>
        </is>
      </c>
      <c r="W61" s="624" t="inlineStr">
        <is>
          <t xml:space="preserve">Amount </t>
        </is>
      </c>
    </row>
    <row r="62" ht="18" customHeight="1" s="562">
      <c r="A62" s="628" t="n">
        <v>46023</v>
      </c>
      <c r="B62" s="623" t="inlineStr">
        <is>
          <t xml:space="preserve">Cynthia </t>
        </is>
      </c>
      <c r="C62" s="624" t="n"/>
      <c r="E62" s="625" t="n">
        <v>45992</v>
      </c>
      <c r="F62" s="623" t="inlineStr">
        <is>
          <t>Marion</t>
        </is>
      </c>
      <c r="G62" s="624" t="n"/>
      <c r="I62" s="625" t="n">
        <v>45658</v>
      </c>
      <c r="J62" s="623" t="inlineStr">
        <is>
          <t xml:space="preserve">Christina </t>
        </is>
      </c>
      <c r="K62" s="624" t="n"/>
      <c r="M62" s="625" t="n">
        <v>45658</v>
      </c>
      <c r="N62" s="623" t="inlineStr">
        <is>
          <t xml:space="preserve">Sophia </t>
        </is>
      </c>
      <c r="O62" s="624" t="n"/>
      <c r="Q62" s="625" t="n">
        <v>45992</v>
      </c>
      <c r="R62" s="623" t="inlineStr">
        <is>
          <t>Tracy</t>
        </is>
      </c>
      <c r="S62" s="624" t="n"/>
      <c r="U62" s="625" t="n">
        <v>45658</v>
      </c>
      <c r="V62" s="623" t="n"/>
      <c r="W62" s="624" t="n"/>
    </row>
    <row r="63" ht="18" customHeight="1" s="562">
      <c r="A63" s="628" t="n"/>
      <c r="B63" s="623" t="inlineStr">
        <is>
          <t xml:space="preserve">Jane </t>
        </is>
      </c>
      <c r="C63" s="624" t="n"/>
      <c r="E63" s="628" t="n"/>
      <c r="F63" s="623" t="n"/>
      <c r="G63" s="624" t="n"/>
      <c r="I63" s="628" t="n">
        <v>45658</v>
      </c>
      <c r="J63" s="623" t="inlineStr">
        <is>
          <t>Lina</t>
        </is>
      </c>
      <c r="K63" s="624" t="n"/>
      <c r="M63" s="628" t="n">
        <v>45658</v>
      </c>
      <c r="N63" s="623" t="n"/>
      <c r="O63" s="624" t="n"/>
      <c r="Q63" s="628" t="n"/>
      <c r="R63" s="623" t="inlineStr">
        <is>
          <t xml:space="preserve">Joyce </t>
        </is>
      </c>
      <c r="S63" s="624" t="n"/>
      <c r="U63" s="628" t="n"/>
      <c r="V63" s="623" t="n"/>
      <c r="W63" s="624" t="n"/>
    </row>
    <row r="64" ht="18" customHeight="1" s="562">
      <c r="A64" s="628" t="n"/>
      <c r="B64" s="623" t="n"/>
      <c r="C64" s="624" t="n"/>
      <c r="E64" s="628" t="n"/>
      <c r="F64" s="623" t="n"/>
      <c r="G64" s="624" t="n"/>
      <c r="I64" s="628" t="n"/>
      <c r="J64" s="623" t="n"/>
      <c r="K64" s="624" t="n"/>
      <c r="M64" s="628" t="n"/>
      <c r="N64" s="623" t="n"/>
      <c r="O64" s="624" t="n"/>
      <c r="Q64" s="628" t="n"/>
      <c r="R64" s="623" t="n"/>
      <c r="S64" s="624" t="n"/>
      <c r="U64" s="628" t="n"/>
      <c r="V64" s="623" t="n"/>
      <c r="W64" s="624" t="n"/>
    </row>
    <row r="65" ht="18" customHeight="1" s="562">
      <c r="A65" s="622" t="n"/>
      <c r="B65" s="623" t="n"/>
      <c r="C65" s="624" t="n"/>
      <c r="E65" s="622" t="n"/>
      <c r="F65" s="623" t="n"/>
      <c r="G65" s="624" t="n"/>
      <c r="I65" s="622" t="n"/>
      <c r="J65" s="623" t="n"/>
      <c r="K65" s="624" t="n"/>
      <c r="M65" s="622" t="n"/>
      <c r="N65" s="623" t="n"/>
      <c r="O65" s="624" t="n"/>
      <c r="Q65" s="622" t="n"/>
      <c r="R65" s="623" t="n"/>
      <c r="S65" s="624" t="n"/>
      <c r="U65" s="622" t="n"/>
      <c r="V65" s="623" t="n"/>
      <c r="W65" s="624" t="n"/>
    </row>
    <row r="66" ht="18" customHeight="1" s="562">
      <c r="A66" s="622" t="n"/>
      <c r="B66" s="623" t="n"/>
      <c r="C66" s="624" t="n"/>
      <c r="E66" s="622" t="n"/>
      <c r="F66" s="623" t="n"/>
      <c r="G66" s="624" t="n"/>
      <c r="I66" s="622" t="n"/>
      <c r="J66" s="623" t="n"/>
      <c r="K66" s="624" t="n"/>
      <c r="M66" s="622" t="n"/>
      <c r="N66" s="623" t="n"/>
      <c r="O66" s="624" t="n"/>
      <c r="Q66" s="622" t="n"/>
      <c r="R66" s="623" t="n"/>
      <c r="S66" s="624" t="n"/>
      <c r="U66" s="622" t="n"/>
      <c r="V66" s="623" t="n"/>
      <c r="W66" s="624" t="n"/>
    </row>
    <row r="67" ht="18" customHeight="1" s="562">
      <c r="A67" s="622" t="n"/>
      <c r="B67" s="623" t="n"/>
      <c r="C67" s="624" t="n"/>
      <c r="E67" s="622" t="n"/>
      <c r="F67" s="623" t="n"/>
      <c r="G67" s="624" t="n"/>
      <c r="I67" s="622" t="n"/>
      <c r="J67" s="623" t="n"/>
      <c r="K67" s="624" t="n"/>
      <c r="M67" s="622" t="n"/>
      <c r="N67" s="623" t="n"/>
      <c r="O67" s="624" t="n"/>
      <c r="Q67" s="622" t="n"/>
      <c r="R67" s="623" t="n"/>
      <c r="S67" s="624" t="n"/>
      <c r="U67" s="622" t="n"/>
      <c r="V67" s="623" t="n"/>
      <c r="W67" s="624" t="n"/>
    </row>
    <row r="68" ht="18" customHeight="1" s="562">
      <c r="A68" s="622" t="n"/>
      <c r="B68" s="623" t="n"/>
      <c r="C68" s="624" t="n"/>
      <c r="E68" s="622" t="n"/>
      <c r="F68" s="623" t="n"/>
      <c r="G68" s="624" t="n"/>
      <c r="I68" s="622" t="n"/>
      <c r="J68" s="623" t="n"/>
      <c r="K68" s="624" t="n"/>
      <c r="M68" s="622" t="n"/>
      <c r="N68" s="623" t="n"/>
      <c r="O68" s="624" t="n"/>
      <c r="Q68" s="622" t="n"/>
      <c r="R68" s="623" t="n"/>
      <c r="S68" s="624" t="n"/>
      <c r="U68" s="622" t="n"/>
      <c r="V68" s="623" t="n"/>
      <c r="W68" s="624" t="n"/>
    </row>
    <row r="69" ht="18" customHeight="1" s="562">
      <c r="A69" s="622" t="n"/>
      <c r="B69" s="623" t="n"/>
      <c r="C69" s="624" t="n"/>
      <c r="E69" s="622" t="n"/>
      <c r="F69" s="623" t="n"/>
      <c r="G69" s="624" t="n"/>
      <c r="I69" s="622" t="n"/>
      <c r="J69" s="623" t="n"/>
      <c r="K69" s="624" t="n"/>
      <c r="M69" s="622" t="n"/>
      <c r="N69" s="623" t="n"/>
      <c r="O69" s="624" t="n"/>
      <c r="Q69" s="622" t="n"/>
      <c r="R69" s="623" t="n"/>
      <c r="S69" s="624" t="n"/>
      <c r="U69" s="622" t="n"/>
      <c r="V69" s="623" t="n"/>
      <c r="W69" s="624" t="n"/>
    </row>
    <row r="70" ht="18" customHeight="1" s="562">
      <c r="A70" s="622" t="n"/>
      <c r="B70" s="623" t="n"/>
      <c r="C70" s="624" t="n"/>
      <c r="E70" s="622" t="n"/>
      <c r="F70" s="623" t="n"/>
      <c r="G70" s="624" t="n"/>
      <c r="I70" s="622" t="n"/>
      <c r="J70" s="623" t="n"/>
      <c r="K70" s="624" t="n"/>
      <c r="M70" s="622" t="n"/>
      <c r="N70" s="623" t="n"/>
      <c r="O70" s="624" t="n"/>
      <c r="Q70" s="622" t="n"/>
      <c r="R70" s="623" t="n"/>
      <c r="S70" s="624" t="n"/>
      <c r="U70" s="622" t="n"/>
      <c r="V70" s="623" t="n"/>
      <c r="W70" s="624" t="n"/>
    </row>
    <row r="71" ht="18" customHeight="1" s="562">
      <c r="A71" s="622" t="n"/>
      <c r="B71" s="623" t="n"/>
      <c r="C71" s="624" t="n"/>
      <c r="E71" s="622" t="n"/>
      <c r="F71" s="623" t="n"/>
      <c r="G71" s="624" t="n"/>
      <c r="I71" s="622" t="n"/>
      <c r="J71" s="623" t="n"/>
      <c r="K71" s="624" t="n"/>
      <c r="M71" s="622" t="n"/>
      <c r="N71" s="623" t="n"/>
      <c r="O71" s="624" t="n"/>
      <c r="Q71" s="622" t="n"/>
      <c r="R71" s="623" t="n"/>
      <c r="S71" s="624" t="n"/>
      <c r="U71" s="622" t="n"/>
      <c r="V71" s="623" t="n"/>
      <c r="W71" s="624" t="n"/>
    </row>
    <row r="72" ht="18" customHeight="1" s="562">
      <c r="A72" s="622" t="n"/>
      <c r="B72" s="623" t="n"/>
      <c r="C72" s="624" t="n"/>
      <c r="E72" s="622" t="n"/>
      <c r="F72" s="623" t="n"/>
      <c r="G72" s="624" t="n"/>
      <c r="I72" s="622" t="n"/>
      <c r="J72" s="623" t="n"/>
      <c r="K72" s="624" t="n"/>
      <c r="M72" s="622" t="n"/>
      <c r="N72" s="623" t="n"/>
      <c r="O72" s="624" t="n"/>
      <c r="Q72" s="622" t="n"/>
      <c r="R72" s="623" t="n"/>
      <c r="S72" s="624" t="n"/>
      <c r="U72" s="622" t="n"/>
      <c r="V72" s="623" t="n"/>
      <c r="W72" s="624" t="n"/>
    </row>
    <row r="73" ht="18.75" customHeight="1" s="562">
      <c r="A73" s="622" t="n"/>
      <c r="B73" s="623" t="n"/>
      <c r="C73" s="624" t="n"/>
      <c r="E73" s="622" t="n"/>
      <c r="F73" s="623" t="n"/>
      <c r="G73" s="624" t="n"/>
      <c r="I73" s="622" t="n"/>
      <c r="J73" s="623" t="n"/>
      <c r="K73" s="624" t="n"/>
      <c r="M73" s="622" t="n"/>
      <c r="N73" s="623" t="n"/>
      <c r="O73" s="624" t="n"/>
      <c r="Q73" s="622" t="n"/>
      <c r="R73" s="623" t="n"/>
      <c r="S73" s="624" t="n"/>
      <c r="U73" s="622" t="n"/>
      <c r="V73" s="623" t="n"/>
      <c r="W73" s="624" t="n"/>
    </row>
    <row r="74" ht="18.75" customHeight="1" s="562">
      <c r="A74" s="644" t="inlineStr">
        <is>
          <t xml:space="preserve">Total Expense </t>
        </is>
      </c>
      <c r="B74" s="637" t="n"/>
      <c r="C74" s="645" t="n"/>
      <c r="E74" s="644" t="inlineStr">
        <is>
          <t xml:space="preserve">Total Expense </t>
        </is>
      </c>
      <c r="F74" s="637" t="n"/>
      <c r="G74" s="645" t="n"/>
      <c r="I74" s="644" t="inlineStr">
        <is>
          <t xml:space="preserve">Total Expense </t>
        </is>
      </c>
      <c r="J74" s="637" t="n"/>
      <c r="K74" s="645" t="n"/>
      <c r="M74" s="644" t="inlineStr">
        <is>
          <t xml:space="preserve">Total Expense </t>
        </is>
      </c>
      <c r="N74" s="637" t="n"/>
      <c r="O74" s="645" t="n"/>
      <c r="Q74" s="644" t="inlineStr">
        <is>
          <t xml:space="preserve">Total Expense </t>
        </is>
      </c>
      <c r="R74" s="637" t="n"/>
      <c r="S74" s="645" t="n"/>
      <c r="U74" s="644" t="inlineStr">
        <is>
          <t xml:space="preserve">Total Expense </t>
        </is>
      </c>
      <c r="V74" s="637" t="n"/>
      <c r="W74" s="645" t="n"/>
    </row>
    <row r="75" ht="18.75" customHeight="1" s="562">
      <c r="A75" s="646" t="inlineStr">
        <is>
          <t xml:space="preserve">Income - Expense </t>
        </is>
      </c>
      <c r="B75" s="637" t="n"/>
      <c r="C75" s="647" t="n"/>
      <c r="E75" s="646" t="inlineStr">
        <is>
          <t xml:space="preserve">Income - Expense </t>
        </is>
      </c>
      <c r="F75" s="637" t="n"/>
      <c r="G75" s="647" t="n"/>
      <c r="I75" s="646" t="inlineStr">
        <is>
          <t xml:space="preserve">Income - Expense </t>
        </is>
      </c>
      <c r="J75" s="637" t="n"/>
      <c r="K75" s="647" t="n"/>
      <c r="M75" s="646" t="inlineStr">
        <is>
          <t xml:space="preserve">Income - Expense </t>
        </is>
      </c>
      <c r="N75" s="637" t="n"/>
      <c r="O75" s="647" t="n"/>
      <c r="Q75" s="646" t="inlineStr">
        <is>
          <t xml:space="preserve">Income - Expense </t>
        </is>
      </c>
      <c r="R75" s="637" t="n"/>
      <c r="S75" s="647" t="n"/>
      <c r="U75" s="646" t="inlineStr">
        <is>
          <t xml:space="preserve">Income - Expense </t>
        </is>
      </c>
      <c r="V75" s="637" t="n"/>
      <c r="W75" s="647" t="n"/>
    </row>
    <row r="77" ht="18.75" customHeight="1" s="562">
      <c r="A77" s="615" t="inlineStr">
        <is>
          <t>Megan Barnes</t>
        </is>
      </c>
      <c r="B77" s="613" t="n"/>
      <c r="C77" s="614" t="n"/>
      <c r="E77" s="615" t="inlineStr">
        <is>
          <t>Darren Blumenthal</t>
        </is>
      </c>
      <c r="F77" s="613" t="n"/>
      <c r="G77" s="614" t="n"/>
    </row>
    <row r="78" ht="18.75" customHeight="1" s="562">
      <c r="A78" s="619" t="inlineStr">
        <is>
          <t xml:space="preserve">Income </t>
        </is>
      </c>
      <c r="B78" s="617" t="n"/>
      <c r="C78" s="618" t="n"/>
      <c r="E78" s="619" t="inlineStr">
        <is>
          <t xml:space="preserve">Income </t>
        </is>
      </c>
      <c r="F78" s="617" t="n"/>
      <c r="G78" s="618" t="n"/>
    </row>
    <row r="79" ht="18" customHeight="1" s="562">
      <c r="A79" s="622" t="inlineStr">
        <is>
          <t>Date:</t>
        </is>
      </c>
      <c r="B79" s="623" t="n"/>
      <c r="C79" s="624" t="inlineStr">
        <is>
          <t xml:space="preserve">Payment </t>
        </is>
      </c>
      <c r="E79" s="622" t="inlineStr">
        <is>
          <t>Date:</t>
        </is>
      </c>
      <c r="F79" s="623" t="n"/>
      <c r="G79" s="624" t="inlineStr">
        <is>
          <t xml:space="preserve">Payment </t>
        </is>
      </c>
    </row>
    <row r="80" ht="18" customHeight="1" s="562">
      <c r="A80" s="628" t="n">
        <v>46046</v>
      </c>
      <c r="B80" s="766" t="inlineStr">
        <is>
          <t xml:space="preserve">invoiced </t>
        </is>
      </c>
      <c r="C80" s="627" t="n">
        <v>3250</v>
      </c>
      <c r="E80" s="628" t="n">
        <v>46046</v>
      </c>
      <c r="F80" s="766" t="inlineStr">
        <is>
          <t xml:space="preserve">invoiced </t>
        </is>
      </c>
      <c r="G80" s="627" t="n">
        <v>1800</v>
      </c>
    </row>
    <row r="81" ht="18" customHeight="1" s="562">
      <c r="A81" s="628" t="n"/>
      <c r="B81" s="766" t="n"/>
      <c r="C81" s="627" t="n"/>
      <c r="E81" s="628" t="n">
        <v>46046</v>
      </c>
      <c r="F81" s="766" t="inlineStr">
        <is>
          <t xml:space="preserve">invoiced </t>
        </is>
      </c>
      <c r="G81" s="864" t="n">
        <v>900</v>
      </c>
    </row>
    <row r="82" ht="18" customHeight="1" s="562">
      <c r="A82" s="628" t="n"/>
      <c r="B82" s="626" t="n"/>
      <c r="C82" s="627" t="n"/>
      <c r="E82" s="628" t="n"/>
      <c r="F82" s="626" t="n"/>
      <c r="G82" s="627" t="n"/>
    </row>
    <row r="83" ht="18" customHeight="1" s="562">
      <c r="A83" s="628" t="n"/>
      <c r="B83" s="626" t="n"/>
      <c r="C83" s="624" t="n"/>
      <c r="E83" s="628" t="n"/>
      <c r="F83" s="626" t="n"/>
      <c r="G83" s="624" t="n"/>
    </row>
    <row r="84" ht="18.75" customHeight="1" s="562">
      <c r="A84" s="628" t="n"/>
      <c r="B84" s="626" t="n"/>
      <c r="C84" s="626" t="n"/>
      <c r="E84" s="628" t="n"/>
      <c r="F84" s="626" t="n"/>
      <c r="G84" s="626" t="n"/>
    </row>
    <row r="85" ht="18.75" customHeight="1" s="562">
      <c r="A85" s="622" t="n"/>
      <c r="B85" s="623" t="n"/>
      <c r="C85" s="631">
        <f>SUM(C80:C83)</f>
        <v/>
      </c>
      <c r="E85" s="622" t="n"/>
      <c r="F85" s="623" t="n"/>
      <c r="G85" s="631">
        <f>SUM(G80:G83)</f>
        <v/>
      </c>
    </row>
    <row r="86" ht="18.75" customHeight="1" s="562">
      <c r="A86" s="643" t="inlineStr">
        <is>
          <t xml:space="preserve">Expenses </t>
        </is>
      </c>
      <c r="B86" s="617" t="n"/>
      <c r="C86" s="618" t="n"/>
      <c r="E86" s="643" t="inlineStr">
        <is>
          <t xml:space="preserve">Expenses </t>
        </is>
      </c>
      <c r="F86" s="617" t="n"/>
      <c r="G86" s="618" t="n"/>
    </row>
    <row r="87" ht="18" customHeight="1" s="562">
      <c r="A87" s="622" t="inlineStr">
        <is>
          <t>Date:</t>
        </is>
      </c>
      <c r="B87" s="623" t="inlineStr">
        <is>
          <t xml:space="preserve">Expense Name </t>
        </is>
      </c>
      <c r="C87" s="624" t="inlineStr">
        <is>
          <t xml:space="preserve">Amount </t>
        </is>
      </c>
      <c r="E87" s="622" t="inlineStr">
        <is>
          <t>Date:</t>
        </is>
      </c>
      <c r="F87" s="623" t="inlineStr">
        <is>
          <t xml:space="preserve">Expense Name </t>
        </is>
      </c>
      <c r="G87" s="624" t="inlineStr">
        <is>
          <t xml:space="preserve">Amount </t>
        </is>
      </c>
    </row>
    <row r="88" ht="18" customHeight="1" s="562">
      <c r="A88" s="628" t="n">
        <v>46023</v>
      </c>
      <c r="B88" s="623" t="inlineStr">
        <is>
          <t xml:space="preserve">Cynthia </t>
        </is>
      </c>
      <c r="C88" s="624" t="n"/>
      <c r="E88" s="628" t="n">
        <v>46050</v>
      </c>
      <c r="F88" s="623" t="inlineStr">
        <is>
          <t>Nipho</t>
        </is>
      </c>
      <c r="G88" s="624" t="n"/>
    </row>
    <row r="89" ht="18" customHeight="1" s="562">
      <c r="A89" s="628" t="n"/>
      <c r="B89" s="623" t="n"/>
      <c r="C89" s="624" t="n"/>
      <c r="E89" s="628" t="n"/>
      <c r="F89" s="623" t="n"/>
      <c r="G89" s="624" t="n"/>
    </row>
    <row r="90" ht="18" customHeight="1" s="562">
      <c r="A90" s="628" t="n"/>
      <c r="B90" s="623" t="n"/>
      <c r="C90" s="624" t="n"/>
      <c r="E90" s="628" t="n"/>
      <c r="F90" s="623" t="n"/>
      <c r="G90" s="624" t="n"/>
    </row>
    <row r="91" ht="18" customHeight="1" s="562">
      <c r="A91" s="622" t="n"/>
      <c r="B91" s="623" t="n"/>
      <c r="C91" s="624" t="n"/>
      <c r="E91" s="622" t="n"/>
      <c r="F91" s="623" t="n"/>
      <c r="G91" s="624" t="n"/>
    </row>
    <row r="92" ht="18" customHeight="1" s="562">
      <c r="A92" s="622" t="n"/>
      <c r="B92" s="623" t="n"/>
      <c r="C92" s="624" t="n"/>
      <c r="E92" s="622" t="n"/>
      <c r="F92" s="623" t="n"/>
      <c r="G92" s="624" t="n"/>
    </row>
    <row r="93" ht="18" customHeight="1" s="562">
      <c r="A93" s="622" t="n"/>
      <c r="B93" s="623" t="n"/>
      <c r="C93" s="624" t="n"/>
      <c r="E93" s="622" t="n"/>
      <c r="F93" s="623" t="n"/>
      <c r="G93" s="624" t="n"/>
    </row>
    <row r="94" ht="18" customHeight="1" s="562">
      <c r="A94" s="622" t="n"/>
      <c r="B94" s="623" t="n"/>
      <c r="C94" s="624" t="n"/>
      <c r="E94" s="622" t="n"/>
      <c r="F94" s="623" t="n"/>
      <c r="G94" s="624" t="n"/>
    </row>
    <row r="95" ht="18" customHeight="1" s="562">
      <c r="A95" s="622" t="n"/>
      <c r="B95" s="623" t="n"/>
      <c r="C95" s="624" t="n"/>
      <c r="E95" s="622" t="n"/>
      <c r="F95" s="623" t="n"/>
      <c r="G95" s="624" t="n"/>
    </row>
    <row r="96" ht="18" customHeight="1" s="562">
      <c r="A96" s="622" t="n"/>
      <c r="B96" s="623" t="n"/>
      <c r="C96" s="624" t="n"/>
      <c r="E96" s="622" t="n"/>
      <c r="F96" s="623" t="n"/>
      <c r="G96" s="624" t="n"/>
    </row>
    <row r="97" ht="18" customHeight="1" s="562">
      <c r="A97" s="622" t="n"/>
      <c r="B97" s="623" t="n"/>
      <c r="C97" s="624" t="n"/>
      <c r="E97" s="622" t="n"/>
      <c r="F97" s="623" t="n"/>
      <c r="G97" s="624" t="n"/>
    </row>
    <row r="98" ht="18" customHeight="1" s="562">
      <c r="A98" s="622" t="n"/>
      <c r="B98" s="623" t="n"/>
      <c r="C98" s="624" t="n"/>
      <c r="E98" s="622" t="n"/>
      <c r="F98" s="623" t="n"/>
      <c r="G98" s="624" t="n"/>
    </row>
    <row r="99" ht="18.75" customHeight="1" s="562">
      <c r="A99" s="622" t="n"/>
      <c r="B99" s="623" t="n"/>
      <c r="C99" s="624" t="n"/>
      <c r="E99" s="622" t="n"/>
      <c r="F99" s="623" t="n"/>
      <c r="G99" s="624" t="n"/>
    </row>
    <row r="100" ht="18.75" customHeight="1" s="562">
      <c r="A100" s="644" t="inlineStr">
        <is>
          <t xml:space="preserve">Total Expense </t>
        </is>
      </c>
      <c r="B100" s="637" t="n"/>
      <c r="C100" s="645" t="n"/>
      <c r="E100" s="644" t="inlineStr">
        <is>
          <t xml:space="preserve">Total Expense </t>
        </is>
      </c>
      <c r="F100" s="637" t="n"/>
      <c r="G100" s="645" t="n"/>
    </row>
    <row r="101" ht="18.75" customHeight="1" s="562">
      <c r="A101" s="646" t="inlineStr">
        <is>
          <t xml:space="preserve">Income - Expense </t>
        </is>
      </c>
      <c r="B101" s="637" t="n"/>
      <c r="C101" s="647" t="n"/>
      <c r="E101" s="646" t="inlineStr">
        <is>
          <t xml:space="preserve">Income - Expense </t>
        </is>
      </c>
      <c r="F101" s="637" t="n"/>
      <c r="G101" s="647" t="n"/>
    </row>
    <row r="106" ht="16.5" customHeight="1" s="562"/>
    <row r="107" ht="24.75" customHeight="1" s="562">
      <c r="A107" s="648" t="inlineStr">
        <is>
          <t xml:space="preserve">Total from Clients </t>
        </is>
      </c>
      <c r="B107" s="649">
        <f>SUM(C8+G8+K8+O8+S8+C33+G33+K33+O33+S33+C59+G59+K59+O59+W8+S59+W59+W33+C85+G85)</f>
        <v/>
      </c>
      <c r="F107" s="592" t="n"/>
      <c r="J107" s="623" t="n"/>
      <c r="K107" s="623" t="n"/>
      <c r="L107" s="626" t="n"/>
    </row>
    <row r="108" ht="18" customHeight="1" s="562">
      <c r="J108" s="771" t="n"/>
      <c r="K108" s="771" t="n"/>
      <c r="L108" s="768" t="n"/>
    </row>
  </sheetData>
  <mergeCells count="100">
    <mergeCell ref="E23:F23"/>
    <mergeCell ref="A26:C26"/>
    <mergeCell ref="E26:G26"/>
    <mergeCell ref="A74:B74"/>
    <mergeCell ref="M74:N74"/>
    <mergeCell ref="U51:W51"/>
    <mergeCell ref="A52:C52"/>
    <mergeCell ref="A101:B101"/>
    <mergeCell ref="U1:W1"/>
    <mergeCell ref="E49:F49"/>
    <mergeCell ref="I34:K34"/>
    <mergeCell ref="Q74:R74"/>
    <mergeCell ref="A34:C34"/>
    <mergeCell ref="Q49:R49"/>
    <mergeCell ref="E101:F101"/>
    <mergeCell ref="A77:C77"/>
    <mergeCell ref="U34:W34"/>
    <mergeCell ref="I2:K2"/>
    <mergeCell ref="E100:F100"/>
    <mergeCell ref="M52:O52"/>
    <mergeCell ref="M9:O9"/>
    <mergeCell ref="U27:W27"/>
    <mergeCell ref="E75:F75"/>
    <mergeCell ref="Q75:R75"/>
    <mergeCell ref="M2:O2"/>
    <mergeCell ref="A48:B48"/>
    <mergeCell ref="E60:G60"/>
    <mergeCell ref="E78:G78"/>
    <mergeCell ref="Q60:S60"/>
    <mergeCell ref="E48:F48"/>
    <mergeCell ref="E77:G77"/>
    <mergeCell ref="E86:G86"/>
    <mergeCell ref="U48:V48"/>
    <mergeCell ref="Q23:R23"/>
    <mergeCell ref="I1:K1"/>
    <mergeCell ref="M26:O26"/>
    <mergeCell ref="I51:K51"/>
    <mergeCell ref="I24:J24"/>
    <mergeCell ref="U26:W26"/>
    <mergeCell ref="U24:V24"/>
    <mergeCell ref="A51:C51"/>
    <mergeCell ref="A100:B100"/>
    <mergeCell ref="M24:N24"/>
    <mergeCell ref="A60:C60"/>
    <mergeCell ref="I27:K27"/>
    <mergeCell ref="I74:J74"/>
    <mergeCell ref="E1:G1"/>
    <mergeCell ref="Q51:S51"/>
    <mergeCell ref="U2:W2"/>
    <mergeCell ref="A49:B49"/>
    <mergeCell ref="E34:G34"/>
    <mergeCell ref="E9:G9"/>
    <mergeCell ref="U49:V49"/>
    <mergeCell ref="M49:N49"/>
    <mergeCell ref="Q34:S34"/>
    <mergeCell ref="M48:N48"/>
    <mergeCell ref="A2:C2"/>
    <mergeCell ref="A86:C86"/>
    <mergeCell ref="E2:G2"/>
    <mergeCell ref="I52:K52"/>
    <mergeCell ref="Q27:S27"/>
    <mergeCell ref="A75:B75"/>
    <mergeCell ref="U52:W52"/>
    <mergeCell ref="M75:N75"/>
    <mergeCell ref="I23:J23"/>
    <mergeCell ref="A23:B23"/>
    <mergeCell ref="Q48:R48"/>
    <mergeCell ref="M23:N23"/>
    <mergeCell ref="I26:K26"/>
    <mergeCell ref="M51:O51"/>
    <mergeCell ref="E51:G51"/>
    <mergeCell ref="M60:O60"/>
    <mergeCell ref="A24:B24"/>
    <mergeCell ref="E24:F24"/>
    <mergeCell ref="I49:J49"/>
    <mergeCell ref="Q26:S26"/>
    <mergeCell ref="Q24:R24"/>
    <mergeCell ref="A27:C27"/>
    <mergeCell ref="U74:V74"/>
    <mergeCell ref="Q1:S1"/>
    <mergeCell ref="M27:O27"/>
    <mergeCell ref="E27:G27"/>
    <mergeCell ref="Q9:S9"/>
    <mergeCell ref="I75:J75"/>
    <mergeCell ref="E74:F74"/>
    <mergeCell ref="U75:V75"/>
    <mergeCell ref="Q2:S2"/>
    <mergeCell ref="I60:K60"/>
    <mergeCell ref="I9:K9"/>
    <mergeCell ref="A9:C9"/>
    <mergeCell ref="U60:W60"/>
    <mergeCell ref="U9:W9"/>
    <mergeCell ref="M34:O34"/>
    <mergeCell ref="I48:J48"/>
    <mergeCell ref="E52:G52"/>
    <mergeCell ref="A1:C1"/>
    <mergeCell ref="U23:V23"/>
    <mergeCell ref="Q52:S52"/>
    <mergeCell ref="M1:O1"/>
    <mergeCell ref="A78:C7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I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I28" activePane="bottomRight" state="frozen"/>
      <selection pane="topLeft" activeCell="A1" activeCellId="0" sqref="A1"/>
      <selection pane="topRight" activeCell="I1" activeCellId="0" sqref="I1"/>
      <selection pane="bottomLeft" activeCell="A28" activeCellId="0" sqref="A28"/>
      <selection pane="bottomRight" activeCell="G39" activeCellId="0" sqref="G39"/>
    </sheetView>
  </sheetViews>
  <sheetFormatPr baseColWidth="8" defaultColWidth="10.4921875" defaultRowHeight="15.75" customHeight="0" zeroHeight="0" outlineLevelRow="0"/>
  <cols>
    <col width="21" customWidth="1" style="561" min="1" max="1"/>
    <col width="19.67" customWidth="1" style="561" min="2" max="2"/>
    <col width="28.83" customWidth="1" style="561" min="3" max="3"/>
    <col width="18.16" customWidth="1" style="561" min="4" max="4"/>
    <col width="28.83" customWidth="1" style="561" min="5" max="5"/>
    <col width="19.33" customWidth="1" style="561" min="6" max="6"/>
    <col width="24.16" customWidth="1" style="561" min="7" max="7"/>
    <col width="15.83" customWidth="1" style="561" min="8" max="8"/>
    <col width="25.16" customWidth="1" style="561" min="9" max="9"/>
    <col width="18.5" customWidth="1" style="561" min="10" max="10"/>
    <col width="24.5" customWidth="1" style="561" min="11" max="11"/>
    <col width="21.5" customWidth="1" style="561" min="12" max="12"/>
    <col width="23.83" customWidth="1" style="561" min="13" max="13"/>
    <col width="33" customWidth="1" style="561" min="14" max="14"/>
    <col width="16.67" customWidth="1" style="561" min="15" max="15"/>
    <col width="39" customWidth="1" style="561" min="16" max="16"/>
    <col width="34.67" customWidth="1" style="561" min="17" max="17"/>
    <col width="24.67" customWidth="1" style="561" min="18" max="18"/>
    <col width="40" customWidth="1" style="561" min="19" max="19"/>
    <col width="35.5" customWidth="1" style="561" min="20" max="20"/>
    <col width="20" customWidth="1" style="561" min="21" max="21"/>
    <col width="32.16" customWidth="1" style="561" min="22" max="22"/>
    <col width="22.33" customWidth="1" style="561" min="23" max="23"/>
    <col width="33.67" customWidth="1" style="561" min="24" max="24"/>
    <col width="22.5" customWidth="1" style="561" min="25" max="25"/>
    <col width="43.16" customWidth="1" style="561" min="26" max="26"/>
  </cols>
  <sheetData>
    <row r="1" ht="21" customHeight="1" s="562">
      <c r="C1" s="654" t="inlineStr">
        <is>
          <t>Linda Rapuluchukwa</t>
        </is>
      </c>
      <c r="D1" s="654" t="inlineStr">
        <is>
          <t>Sophie Koga</t>
        </is>
      </c>
      <c r="E1" s="654" t="inlineStr">
        <is>
          <t>Joyce Mutambiranwa</t>
        </is>
      </c>
      <c r="F1" s="654" t="inlineStr">
        <is>
          <t>Emily Mentula</t>
        </is>
      </c>
      <c r="G1" s="654" t="inlineStr">
        <is>
          <t>Cynthia Makondo</t>
        </is>
      </c>
      <c r="H1" s="655" t="inlineStr">
        <is>
          <t>Ruth Nnadi</t>
        </is>
      </c>
      <c r="I1" s="654" t="inlineStr">
        <is>
          <t>Christina Maluleka</t>
        </is>
      </c>
      <c r="J1" s="654" t="inlineStr">
        <is>
          <t>Susan Murire</t>
        </is>
      </c>
      <c r="K1" s="654" t="inlineStr">
        <is>
          <t>Ndai Mapenyenye</t>
        </is>
      </c>
      <c r="L1" s="654" t="inlineStr">
        <is>
          <t>Adaobi Ejikeme</t>
        </is>
      </c>
      <c r="M1" s="654" t="inlineStr">
        <is>
          <t>Merriam Maluleke</t>
        </is>
      </c>
      <c r="N1" s="654" t="inlineStr">
        <is>
          <t>Jane Mokgaetsi Moekwa</t>
        </is>
      </c>
      <c r="O1" s="654" t="inlineStr">
        <is>
          <t>Sylvia Nene</t>
        </is>
      </c>
      <c r="P1" s="654" t="inlineStr">
        <is>
          <t>Matodzi Sylvia Mutavhatsindi</t>
        </is>
      </c>
      <c r="Q1" s="654" t="inlineStr">
        <is>
          <t>Siphilisiwe Nkala(Patricia)</t>
        </is>
      </c>
      <c r="R1" s="654" t="inlineStr">
        <is>
          <t>Refiloe Khuzwayo</t>
        </is>
      </c>
      <c r="S1" s="654" t="inlineStr">
        <is>
          <t>Mmamaswabi Emma Dhlamini</t>
        </is>
      </c>
      <c r="T1" s="654" t="inlineStr">
        <is>
          <t xml:space="preserve">Tracy Nothando Nyirenda </t>
        </is>
      </c>
      <c r="U1" s="654" t="inlineStr">
        <is>
          <t xml:space="preserve">Marion Goeda </t>
        </is>
      </c>
      <c r="V1" s="654" t="inlineStr">
        <is>
          <t>Siphethokhuhle Nkomo</t>
        </is>
      </c>
      <c r="W1" s="865" t="inlineStr">
        <is>
          <t>Lina Raphahlela</t>
        </is>
      </c>
      <c r="X1" s="866" t="inlineStr">
        <is>
          <t>Matshidiso Leah Aphane</t>
        </is>
      </c>
      <c r="Y1" s="654" t="inlineStr">
        <is>
          <t xml:space="preserve">Monique Bosch </t>
        </is>
      </c>
      <c r="Z1" s="654" t="inlineStr">
        <is>
          <t>Nhlakanipho (Nipho) Tshabalala</t>
        </is>
      </c>
    </row>
    <row r="2" ht="18.75" customHeight="1" s="562">
      <c r="A2" s="657" t="n"/>
      <c r="B2" s="658" t="inlineStr">
        <is>
          <t>Caregiver Price</t>
        </is>
      </c>
      <c r="C2" s="660" t="n">
        <v>600</v>
      </c>
      <c r="D2" s="659" t="n">
        <v>450</v>
      </c>
      <c r="E2" s="659" t="n">
        <v>500</v>
      </c>
      <c r="F2" s="659" t="n">
        <v>450</v>
      </c>
      <c r="G2" s="660" t="n">
        <v>450</v>
      </c>
      <c r="H2" s="659" t="n">
        <v>450</v>
      </c>
      <c r="I2" s="660" t="n">
        <v>450</v>
      </c>
      <c r="J2" s="660" t="n">
        <v>450</v>
      </c>
      <c r="K2" s="659" t="n"/>
      <c r="L2" s="660" t="n">
        <v>450</v>
      </c>
      <c r="M2" s="660" t="n">
        <v>334</v>
      </c>
      <c r="N2" s="660" t="n">
        <v>450</v>
      </c>
      <c r="O2" s="660" t="n">
        <v>450</v>
      </c>
      <c r="P2" s="660" t="n">
        <v>450</v>
      </c>
      <c r="Q2" s="659" t="n">
        <v>450</v>
      </c>
      <c r="R2" s="660" t="n">
        <v>450</v>
      </c>
      <c r="S2" s="660" t="n">
        <v>450</v>
      </c>
      <c r="T2" s="775" t="n">
        <v>450</v>
      </c>
      <c r="U2" s="660" t="n">
        <v>450</v>
      </c>
      <c r="V2" s="659" t="n">
        <v>450</v>
      </c>
      <c r="W2" s="867" t="n">
        <v>450</v>
      </c>
      <c r="X2" s="867" t="n">
        <v>350</v>
      </c>
      <c r="Y2" s="867" t="n">
        <v>283</v>
      </c>
      <c r="Z2" s="659" t="n">
        <v>500</v>
      </c>
    </row>
    <row r="3" ht="21" customFormat="1" customHeight="1" s="661">
      <c r="A3" s="776" t="inlineStr">
        <is>
          <t xml:space="preserve">Date </t>
        </is>
      </c>
      <c r="B3" s="777" t="inlineStr">
        <is>
          <t>Days of  Week</t>
        </is>
      </c>
      <c r="C3" s="778" t="n"/>
      <c r="D3" s="778" t="n"/>
      <c r="E3" s="778" t="n"/>
      <c r="F3" s="778" t="n"/>
      <c r="G3" s="668" t="n"/>
      <c r="H3" s="670" t="n"/>
      <c r="I3" s="668" t="n"/>
      <c r="J3" s="669" t="n"/>
      <c r="K3" s="669" t="n"/>
      <c r="L3" s="669" t="n"/>
      <c r="M3" s="779" t="n"/>
      <c r="N3" s="778" t="n"/>
      <c r="O3" s="778" t="n"/>
      <c r="P3" s="778" t="n"/>
      <c r="Q3" s="778" t="n"/>
      <c r="R3" s="778" t="n"/>
      <c r="S3" s="778" t="n"/>
      <c r="T3" s="778" t="n"/>
      <c r="U3" s="669" t="n"/>
      <c r="V3" s="868" t="n"/>
      <c r="W3" s="869" t="n"/>
      <c r="X3" s="870" t="n"/>
      <c r="Y3" s="870" t="n"/>
      <c r="Z3" s="870" t="n"/>
    </row>
    <row r="4" ht="21" customHeight="1" s="562">
      <c r="A4" s="781" t="n">
        <v>45658</v>
      </c>
      <c r="B4" s="782" t="inlineStr">
        <is>
          <t>Thursday</t>
        </is>
      </c>
      <c r="C4" s="871" t="inlineStr">
        <is>
          <t xml:space="preserve">Johnstons </t>
        </is>
      </c>
      <c r="D4" s="680" t="inlineStr">
        <is>
          <t xml:space="preserve">Theron </t>
        </is>
      </c>
      <c r="E4" s="872" t="inlineStr">
        <is>
          <t>Paoadopoulos</t>
        </is>
      </c>
      <c r="F4" s="873" t="n"/>
      <c r="G4" s="816" t="n"/>
      <c r="H4" s="874" t="inlineStr">
        <is>
          <t xml:space="preserve">Le Roux </t>
        </is>
      </c>
      <c r="I4" s="717" t="n"/>
      <c r="J4" s="679" t="n"/>
      <c r="K4" s="591" t="n"/>
      <c r="L4" s="676" t="n"/>
      <c r="M4" s="832" t="inlineStr">
        <is>
          <t>Scroope</t>
        </is>
      </c>
      <c r="N4" s="786" t="inlineStr">
        <is>
          <t xml:space="preserve">Klientjie </t>
        </is>
      </c>
      <c r="O4" s="717" t="n"/>
      <c r="P4" s="591" t="n"/>
      <c r="Q4" s="717" t="n"/>
      <c r="R4" s="873" t="n"/>
      <c r="S4" s="693" t="inlineStr">
        <is>
          <t xml:space="preserve">Apie </t>
        </is>
      </c>
      <c r="T4" s="873" t="n"/>
      <c r="U4" s="875" t="inlineStr">
        <is>
          <t xml:space="preserve">Ras </t>
        </is>
      </c>
      <c r="V4" s="790" t="n"/>
      <c r="W4" s="816" t="n"/>
      <c r="X4" s="876" t="n"/>
      <c r="Y4" s="816" t="n"/>
      <c r="Z4" s="717" t="n"/>
      <c r="AA4" s="591" t="n"/>
      <c r="AB4" s="591" t="n"/>
      <c r="AC4" s="591" t="n"/>
      <c r="AD4" s="591" t="n"/>
      <c r="AE4" s="591" t="n"/>
      <c r="AF4" s="591" t="n"/>
      <c r="AG4" s="591" t="n"/>
      <c r="AH4" s="591" t="n"/>
      <c r="AI4" s="591" t="n"/>
    </row>
    <row r="5" ht="21" customHeight="1" s="562">
      <c r="A5" s="781" t="n">
        <v>45659</v>
      </c>
      <c r="B5" s="782" t="inlineStr">
        <is>
          <t>Friday</t>
        </is>
      </c>
      <c r="C5" s="676" t="n"/>
      <c r="D5" s="694" t="inlineStr">
        <is>
          <t xml:space="preserve">Theron </t>
        </is>
      </c>
      <c r="E5" s="877" t="inlineStr">
        <is>
          <t>Paoadopoulos</t>
        </is>
      </c>
      <c r="F5" s="591" t="n"/>
      <c r="G5" s="676" t="n"/>
      <c r="H5" s="676" t="n"/>
      <c r="I5" s="673" t="n"/>
      <c r="J5" s="679" t="n"/>
      <c r="K5" s="591" t="n"/>
      <c r="L5" s="675" t="inlineStr">
        <is>
          <t xml:space="preserve">Johnstons </t>
        </is>
      </c>
      <c r="M5" s="834" t="inlineStr">
        <is>
          <t>Scroope</t>
        </is>
      </c>
      <c r="N5" s="677" t="inlineStr">
        <is>
          <t xml:space="preserve">Klientjie </t>
        </is>
      </c>
      <c r="O5" s="673" t="n"/>
      <c r="P5" s="591" t="n"/>
      <c r="Q5" s="673" t="n"/>
      <c r="R5" s="591" t="n"/>
      <c r="S5" s="699" t="inlineStr">
        <is>
          <t xml:space="preserve">Apie </t>
        </is>
      </c>
      <c r="T5" s="591" t="n"/>
      <c r="U5" s="878" t="inlineStr">
        <is>
          <t xml:space="preserve">Ras </t>
        </is>
      </c>
      <c r="V5" s="675" t="inlineStr">
        <is>
          <t>Sui Fon</t>
        </is>
      </c>
      <c r="W5" s="676" t="n"/>
      <c r="X5" s="876" t="n"/>
      <c r="Y5" s="676" t="n"/>
      <c r="Z5" s="673" t="n"/>
      <c r="AA5" s="591" t="n"/>
      <c r="AB5" s="591" t="n"/>
      <c r="AC5" s="591" t="n"/>
      <c r="AD5" s="591" t="n"/>
      <c r="AE5" s="591" t="n"/>
      <c r="AF5" s="591" t="n"/>
      <c r="AG5" s="591" t="n"/>
      <c r="AH5" s="591" t="n"/>
      <c r="AI5" s="591" t="n"/>
    </row>
    <row r="6" ht="21" customHeight="1" s="562">
      <c r="A6" s="781" t="n">
        <v>45660</v>
      </c>
      <c r="B6" s="782" t="inlineStr">
        <is>
          <t>Saturday</t>
        </is>
      </c>
      <c r="C6" s="676" t="n"/>
      <c r="D6" s="694" t="inlineStr">
        <is>
          <t xml:space="preserve">Theron </t>
        </is>
      </c>
      <c r="E6" s="877" t="inlineStr">
        <is>
          <t>Paoadopoulos</t>
        </is>
      </c>
      <c r="F6" s="591" t="n"/>
      <c r="G6" s="676" t="n"/>
      <c r="H6" s="676" t="n"/>
      <c r="I6" s="673" t="n"/>
      <c r="J6" s="879" t="inlineStr">
        <is>
          <t xml:space="preserve">Kotie- half </t>
        </is>
      </c>
      <c r="K6" s="591" t="n"/>
      <c r="L6" s="687" t="inlineStr">
        <is>
          <t xml:space="preserve">Johnstons </t>
        </is>
      </c>
      <c r="M6" s="834" t="inlineStr">
        <is>
          <t>Scroope</t>
        </is>
      </c>
      <c r="N6" s="677" t="inlineStr">
        <is>
          <t xml:space="preserve">Klientjie </t>
        </is>
      </c>
      <c r="O6" s="673" t="n"/>
      <c r="P6" s="591" t="n"/>
      <c r="Q6" s="673" t="n"/>
      <c r="R6" s="591" t="n"/>
      <c r="S6" s="699" t="inlineStr">
        <is>
          <t xml:space="preserve">Apie </t>
        </is>
      </c>
      <c r="T6" s="591" t="n"/>
      <c r="U6" s="878" t="inlineStr">
        <is>
          <t xml:space="preserve">Ras </t>
        </is>
      </c>
      <c r="V6" s="687" t="inlineStr">
        <is>
          <t>Sui Fon</t>
        </is>
      </c>
      <c r="W6" s="676" t="n"/>
      <c r="X6" s="876" t="n"/>
      <c r="Y6" s="676" t="n"/>
      <c r="Z6" s="673" t="n"/>
      <c r="AA6" s="591" t="n"/>
      <c r="AB6" s="591" t="n"/>
      <c r="AC6" s="591" t="n"/>
      <c r="AD6" s="591" t="n"/>
      <c r="AE6" s="591" t="n"/>
      <c r="AF6" s="591" t="n"/>
      <c r="AG6" s="591" t="n"/>
      <c r="AH6" s="591" t="n"/>
      <c r="AI6" s="591" t="n"/>
    </row>
    <row r="7" ht="21" customHeight="1" s="562">
      <c r="A7" s="781" t="n">
        <v>45661</v>
      </c>
      <c r="B7" s="782" t="inlineStr">
        <is>
          <t>Sunday</t>
        </is>
      </c>
      <c r="C7" s="676" t="n"/>
      <c r="D7" s="694" t="inlineStr">
        <is>
          <t xml:space="preserve">Theron </t>
        </is>
      </c>
      <c r="E7" s="877" t="inlineStr">
        <is>
          <t>Paoadopoulos</t>
        </is>
      </c>
      <c r="F7" s="591" t="n"/>
      <c r="G7" s="676" t="n"/>
      <c r="H7" s="676" t="n"/>
      <c r="I7" s="673" t="n"/>
      <c r="J7" s="679" t="n"/>
      <c r="K7" s="591" t="n"/>
      <c r="L7" s="696" t="inlineStr">
        <is>
          <t xml:space="preserve">Johnstons </t>
        </is>
      </c>
      <c r="M7" s="834" t="inlineStr">
        <is>
          <t>Scroope</t>
        </is>
      </c>
      <c r="N7" s="799" t="inlineStr">
        <is>
          <t xml:space="preserve">Klientjie </t>
        </is>
      </c>
      <c r="O7" s="673" t="n"/>
      <c r="P7" s="591" t="n"/>
      <c r="Q7" s="673" t="n"/>
      <c r="R7" s="591" t="n"/>
      <c r="S7" s="712" t="inlineStr">
        <is>
          <t xml:space="preserve">Apie </t>
        </is>
      </c>
      <c r="T7" s="591" t="n"/>
      <c r="U7" s="880" t="inlineStr">
        <is>
          <t xml:space="preserve">Ras </t>
        </is>
      </c>
      <c r="V7" s="687" t="inlineStr">
        <is>
          <t>Sui Fon</t>
        </is>
      </c>
      <c r="W7" s="676" t="n"/>
      <c r="X7" s="876" t="n"/>
      <c r="Y7" s="676" t="n"/>
      <c r="Z7" s="673" t="n"/>
      <c r="AA7" s="591" t="n"/>
      <c r="AB7" s="591" t="n"/>
      <c r="AC7" s="591" t="n"/>
      <c r="AD7" s="591" t="n"/>
      <c r="AE7" s="591" t="n"/>
      <c r="AF7" s="591" t="n"/>
      <c r="AG7" s="591" t="n"/>
      <c r="AH7" s="591" t="n"/>
      <c r="AI7" s="591" t="n"/>
    </row>
    <row r="8" ht="21" customHeight="1" s="562">
      <c r="A8" s="781" t="n">
        <v>45662</v>
      </c>
      <c r="B8" s="782" t="inlineStr">
        <is>
          <t>Monday</t>
        </is>
      </c>
      <c r="C8" s="881" t="inlineStr">
        <is>
          <t xml:space="preserve">Johnstons </t>
        </is>
      </c>
      <c r="D8" s="694" t="inlineStr">
        <is>
          <t xml:space="preserve">Theron </t>
        </is>
      </c>
      <c r="E8" s="877" t="inlineStr">
        <is>
          <t>Paoadopoulos</t>
        </is>
      </c>
      <c r="F8" s="693" t="inlineStr">
        <is>
          <t xml:space="preserve">Apie </t>
        </is>
      </c>
      <c r="G8" s="703" t="inlineStr">
        <is>
          <t>Julia Ann</t>
        </is>
      </c>
      <c r="H8" s="591" t="n"/>
      <c r="I8" s="786" t="inlineStr">
        <is>
          <t xml:space="preserve">Klientjie </t>
        </is>
      </c>
      <c r="J8" s="879" t="inlineStr">
        <is>
          <t xml:space="preserve">Kotie </t>
        </is>
      </c>
      <c r="K8" s="591" t="n"/>
      <c r="L8" s="676" t="n"/>
      <c r="M8" s="834" t="inlineStr">
        <is>
          <t>Scroope</t>
        </is>
      </c>
      <c r="N8" s="717" t="n"/>
      <c r="O8" s="679" t="n"/>
      <c r="P8" s="591" t="n"/>
      <c r="Q8" s="786" t="inlineStr">
        <is>
          <t xml:space="preserve">Boets </t>
        </is>
      </c>
      <c r="R8" s="591" t="n"/>
      <c r="S8" s="676" t="n"/>
      <c r="T8" s="676" t="n"/>
      <c r="U8" s="882" t="inlineStr">
        <is>
          <t xml:space="preserve">Kotie </t>
        </is>
      </c>
      <c r="V8" s="687" t="inlineStr">
        <is>
          <t>Sui Fon</t>
        </is>
      </c>
      <c r="W8" s="676" t="n"/>
      <c r="X8" s="876" t="n"/>
      <c r="Y8" s="676" t="n"/>
      <c r="Z8" s="673" t="n"/>
      <c r="AA8" s="591" t="n"/>
      <c r="AB8" s="591" t="n"/>
      <c r="AC8" s="591" t="n"/>
      <c r="AD8" s="591" t="n"/>
      <c r="AE8" s="591" t="n"/>
      <c r="AF8" s="591" t="n"/>
      <c r="AG8" s="591" t="n"/>
      <c r="AH8" s="591" t="n"/>
      <c r="AI8" s="591" t="n"/>
    </row>
    <row r="9" ht="19.5" customHeight="1" s="562">
      <c r="A9" s="781" t="n">
        <v>45663</v>
      </c>
      <c r="B9" s="782" t="inlineStr">
        <is>
          <t>Tuesday</t>
        </is>
      </c>
      <c r="C9" s="883" t="inlineStr">
        <is>
          <t xml:space="preserve">Johnstons </t>
        </is>
      </c>
      <c r="D9" s="694" t="inlineStr">
        <is>
          <t xml:space="preserve">Theron </t>
        </is>
      </c>
      <c r="E9" s="877" t="inlineStr">
        <is>
          <t>Paoadopoulos</t>
        </is>
      </c>
      <c r="F9" s="699" t="inlineStr">
        <is>
          <t xml:space="preserve">Apie </t>
        </is>
      </c>
      <c r="G9" s="708" t="inlineStr">
        <is>
          <t>Julia Ann</t>
        </is>
      </c>
      <c r="H9" s="591" t="n"/>
      <c r="I9" s="677" t="inlineStr">
        <is>
          <t xml:space="preserve">Klientjie </t>
        </is>
      </c>
      <c r="J9" s="679" t="n"/>
      <c r="K9" s="591" t="n"/>
      <c r="L9" s="676" t="n"/>
      <c r="M9" s="834" t="inlineStr">
        <is>
          <t>Scroope</t>
        </is>
      </c>
      <c r="N9" s="673" t="n"/>
      <c r="O9" s="679" t="n"/>
      <c r="P9" s="591" t="n"/>
      <c r="Q9" s="677" t="inlineStr">
        <is>
          <t xml:space="preserve">Boets </t>
        </is>
      </c>
      <c r="R9" s="591" t="n"/>
      <c r="S9" s="676" t="n"/>
      <c r="T9" s="676" t="n"/>
      <c r="U9" s="676" t="n"/>
      <c r="V9" s="687" t="inlineStr">
        <is>
          <t>Sui Fon</t>
        </is>
      </c>
      <c r="W9" s="676" t="n"/>
      <c r="X9" s="876" t="n"/>
      <c r="Y9" s="676" t="n"/>
      <c r="Z9" s="673" t="n"/>
      <c r="AA9" s="591" t="n"/>
      <c r="AB9" s="591" t="n"/>
      <c r="AC9" s="591" t="n"/>
      <c r="AD9" s="591" t="n"/>
      <c r="AE9" s="591" t="n"/>
      <c r="AF9" s="591" t="n"/>
      <c r="AG9" s="591" t="n"/>
      <c r="AH9" s="591" t="n"/>
      <c r="AI9" s="591" t="n"/>
    </row>
    <row r="10" ht="21" customHeight="1" s="562">
      <c r="A10" s="781" t="n">
        <v>45664</v>
      </c>
      <c r="B10" s="782" t="inlineStr">
        <is>
          <t>Wednesday</t>
        </is>
      </c>
      <c r="C10" s="883" t="inlineStr">
        <is>
          <t xml:space="preserve">Johnstons </t>
        </is>
      </c>
      <c r="D10" s="694" t="inlineStr">
        <is>
          <t xml:space="preserve">Theron </t>
        </is>
      </c>
      <c r="E10" s="877" t="inlineStr">
        <is>
          <t>Paoadopoulos</t>
        </is>
      </c>
      <c r="F10" s="699" t="inlineStr">
        <is>
          <t xml:space="preserve">Apie </t>
        </is>
      </c>
      <c r="G10" s="708" t="inlineStr">
        <is>
          <t>Julia Ann</t>
        </is>
      </c>
      <c r="H10" s="591" t="n"/>
      <c r="I10" s="677" t="inlineStr">
        <is>
          <t xml:space="preserve">Klientjie </t>
        </is>
      </c>
      <c r="J10" s="679" t="n"/>
      <c r="K10" s="591" t="n"/>
      <c r="L10" s="676" t="n"/>
      <c r="M10" s="834" t="inlineStr">
        <is>
          <t>Scroope</t>
        </is>
      </c>
      <c r="N10" s="673" t="n"/>
      <c r="O10" s="679" t="n"/>
      <c r="P10" s="591" t="n"/>
      <c r="Q10" s="677" t="inlineStr">
        <is>
          <t xml:space="preserve">Boets </t>
        </is>
      </c>
      <c r="R10" s="591" t="n"/>
      <c r="S10" s="676" t="n"/>
      <c r="T10" s="676" t="n"/>
      <c r="U10" s="676" t="n"/>
      <c r="V10" s="687" t="inlineStr">
        <is>
          <t>Sui Fon</t>
        </is>
      </c>
      <c r="W10" s="676" t="n"/>
      <c r="X10" s="876" t="n"/>
      <c r="Y10" s="676" t="n"/>
      <c r="Z10" s="673" t="n"/>
      <c r="AA10" s="591" t="n"/>
      <c r="AB10" s="591" t="n"/>
      <c r="AC10" s="591" t="n"/>
      <c r="AD10" s="591" t="n"/>
      <c r="AE10" s="591" t="n"/>
      <c r="AF10" s="591" t="n"/>
      <c r="AG10" s="591" t="n"/>
      <c r="AH10" s="591" t="n"/>
      <c r="AI10" s="591" t="n"/>
    </row>
    <row r="11" ht="21" customHeight="1" s="562">
      <c r="A11" s="781" t="n">
        <v>45665</v>
      </c>
      <c r="B11" s="782" t="inlineStr">
        <is>
          <t>Thursday</t>
        </is>
      </c>
      <c r="C11" s="883" t="inlineStr">
        <is>
          <t xml:space="preserve">Johnstons </t>
        </is>
      </c>
      <c r="D11" s="694" t="inlineStr">
        <is>
          <t xml:space="preserve">Theron </t>
        </is>
      </c>
      <c r="E11" s="877" t="inlineStr">
        <is>
          <t>Paoadopoulos</t>
        </is>
      </c>
      <c r="F11" s="712" t="inlineStr">
        <is>
          <t xml:space="preserve">Apie </t>
        </is>
      </c>
      <c r="G11" s="708" t="inlineStr">
        <is>
          <t>Julia Ann</t>
        </is>
      </c>
      <c r="H11" s="884" t="inlineStr">
        <is>
          <t xml:space="preserve">Le Roux </t>
        </is>
      </c>
      <c r="I11" s="677" t="inlineStr">
        <is>
          <t xml:space="preserve">Klientjie </t>
        </is>
      </c>
      <c r="J11" s="679" t="n"/>
      <c r="K11" s="591" t="n"/>
      <c r="L11" s="676" t="n"/>
      <c r="M11" s="834" t="inlineStr">
        <is>
          <t>Scroope</t>
        </is>
      </c>
      <c r="N11" s="673" t="n"/>
      <c r="O11" s="679" t="n"/>
      <c r="P11" s="591" t="n"/>
      <c r="Q11" s="677" t="inlineStr">
        <is>
          <t xml:space="preserve">Boets </t>
        </is>
      </c>
      <c r="R11" s="591" t="n"/>
      <c r="S11" s="676" t="n"/>
      <c r="T11" s="676" t="n"/>
      <c r="U11" s="675" t="inlineStr">
        <is>
          <t xml:space="preserve">Natasha </t>
        </is>
      </c>
      <c r="V11" s="687" t="inlineStr">
        <is>
          <t>Sui Fon</t>
        </is>
      </c>
      <c r="W11" s="676" t="n"/>
      <c r="X11" s="876" t="n"/>
      <c r="Y11" s="676" t="n"/>
      <c r="Z11" s="673" t="n"/>
      <c r="AA11" s="591" t="n"/>
      <c r="AB11" s="591" t="n"/>
      <c r="AC11" s="591" t="n"/>
      <c r="AD11" s="591" t="n"/>
      <c r="AE11" s="591" t="n"/>
      <c r="AF11" s="591" t="n"/>
      <c r="AG11" s="591" t="n"/>
      <c r="AH11" s="591" t="n"/>
      <c r="AI11" s="591" t="n"/>
    </row>
    <row r="12" ht="21" customHeight="1" s="562">
      <c r="A12" s="781" t="n">
        <v>45666</v>
      </c>
      <c r="B12" s="782" t="inlineStr">
        <is>
          <t>Friday</t>
        </is>
      </c>
      <c r="C12" s="885" t="inlineStr">
        <is>
          <t xml:space="preserve">Johnstons </t>
        </is>
      </c>
      <c r="D12" s="683" t="inlineStr">
        <is>
          <t xml:space="preserve">Theron </t>
        </is>
      </c>
      <c r="E12" s="877" t="inlineStr">
        <is>
          <t>Paoadopoulos</t>
        </is>
      </c>
      <c r="F12" s="591" t="n"/>
      <c r="G12" s="811" t="inlineStr">
        <is>
          <t>Julia Ann</t>
        </is>
      </c>
      <c r="H12" s="693" t="inlineStr">
        <is>
          <t xml:space="preserve">Lotz </t>
        </is>
      </c>
      <c r="I12" s="677" t="inlineStr">
        <is>
          <t xml:space="preserve">Klientjie </t>
        </is>
      </c>
      <c r="J12" s="679" t="n"/>
      <c r="K12" s="591" t="n"/>
      <c r="L12" s="676" t="n"/>
      <c r="M12" s="834" t="inlineStr">
        <is>
          <t>Scroope</t>
        </is>
      </c>
      <c r="N12" s="673" t="n"/>
      <c r="O12" s="886" t="inlineStr">
        <is>
          <t xml:space="preserve">Johnstons </t>
        </is>
      </c>
      <c r="P12" s="591" t="n"/>
      <c r="Q12" s="799" t="inlineStr">
        <is>
          <t xml:space="preserve">Boets </t>
        </is>
      </c>
      <c r="R12" s="591" t="n"/>
      <c r="S12" s="693" t="inlineStr">
        <is>
          <t xml:space="preserve">Apie </t>
        </is>
      </c>
      <c r="T12" s="676" t="n"/>
      <c r="U12" s="687" t="inlineStr">
        <is>
          <t xml:space="preserve">Natasha </t>
        </is>
      </c>
      <c r="V12" s="696" t="inlineStr">
        <is>
          <t>Sui Fon</t>
        </is>
      </c>
      <c r="W12" s="676" t="n"/>
      <c r="X12" s="876" t="n"/>
      <c r="Y12" s="676" t="n"/>
      <c r="Z12" s="673" t="n"/>
      <c r="AA12" s="591" t="n"/>
      <c r="AB12" s="591" t="n"/>
      <c r="AC12" s="591" t="n"/>
      <c r="AD12" s="591" t="n"/>
      <c r="AE12" s="591" t="n"/>
      <c r="AF12" s="591" t="n"/>
      <c r="AG12" s="591" t="n"/>
      <c r="AH12" s="591" t="n"/>
      <c r="AI12" s="591" t="n"/>
    </row>
    <row r="13" ht="21" customHeight="1" s="562">
      <c r="A13" s="781" t="n">
        <v>45667</v>
      </c>
      <c r="B13" s="782" t="inlineStr">
        <is>
          <t>Saturday</t>
        </is>
      </c>
      <c r="C13" s="676" t="n"/>
      <c r="D13" s="676" t="n"/>
      <c r="E13" s="688" t="inlineStr">
        <is>
          <t>Paoadopoulos</t>
        </is>
      </c>
      <c r="F13" s="591" t="n"/>
      <c r="G13" s="676" t="n"/>
      <c r="H13" s="699" t="inlineStr">
        <is>
          <t xml:space="preserve">Lotz </t>
        </is>
      </c>
      <c r="I13" s="677" t="inlineStr">
        <is>
          <t xml:space="preserve">Klientjie </t>
        </is>
      </c>
      <c r="J13" s="679" t="n"/>
      <c r="K13" s="591" t="n"/>
      <c r="L13" s="675" t="inlineStr">
        <is>
          <t xml:space="preserve">Johnstons </t>
        </is>
      </c>
      <c r="M13" s="834" t="inlineStr">
        <is>
          <t>Scroope</t>
        </is>
      </c>
      <c r="N13" s="703" t="inlineStr">
        <is>
          <t>Julia Ann</t>
        </is>
      </c>
      <c r="O13" s="679" t="n"/>
      <c r="P13" s="591" t="n"/>
      <c r="Q13" s="717" t="n"/>
      <c r="R13" s="591" t="n"/>
      <c r="S13" s="699" t="inlineStr">
        <is>
          <t xml:space="preserve">Apie </t>
        </is>
      </c>
      <c r="T13" s="676" t="n"/>
      <c r="U13" s="687" t="inlineStr">
        <is>
          <t xml:space="preserve">Natasha </t>
        </is>
      </c>
      <c r="V13" s="673" t="n"/>
      <c r="W13" s="676" t="n"/>
      <c r="X13" s="876" t="n"/>
      <c r="Y13" s="676" t="n"/>
      <c r="Z13" s="673" t="n"/>
      <c r="AA13" s="591" t="n"/>
      <c r="AB13" s="591" t="n"/>
      <c r="AC13" s="591" t="n"/>
      <c r="AD13" s="591" t="n"/>
      <c r="AE13" s="591" t="n"/>
      <c r="AF13" s="591" t="n"/>
      <c r="AG13" s="591" t="n"/>
      <c r="AH13" s="591" t="n"/>
      <c r="AI13" s="591" t="n"/>
    </row>
    <row r="14" ht="21" customHeight="1" s="562">
      <c r="A14" s="781" t="n">
        <v>45668</v>
      </c>
      <c r="B14" s="782" t="inlineStr">
        <is>
          <t>Sunday</t>
        </is>
      </c>
      <c r="C14" s="676" t="n"/>
      <c r="D14" s="676" t="n"/>
      <c r="E14" s="724" t="inlineStr">
        <is>
          <t>Paoadopoulos</t>
        </is>
      </c>
      <c r="F14" s="591" t="n"/>
      <c r="G14" s="676" t="n"/>
      <c r="H14" s="699" t="inlineStr">
        <is>
          <t xml:space="preserve">Lotz </t>
        </is>
      </c>
      <c r="I14" s="677" t="inlineStr">
        <is>
          <t xml:space="preserve">Klientjie </t>
        </is>
      </c>
      <c r="J14" s="679" t="n"/>
      <c r="K14" s="591" t="n"/>
      <c r="L14" s="687" t="inlineStr">
        <is>
          <t xml:space="preserve">Johnstons </t>
        </is>
      </c>
      <c r="M14" s="830" t="inlineStr">
        <is>
          <t>Scroope</t>
        </is>
      </c>
      <c r="N14" s="807" t="inlineStr">
        <is>
          <t>Julia Ann</t>
        </is>
      </c>
      <c r="O14" s="675" t="inlineStr">
        <is>
          <t xml:space="preserve">Natasha </t>
        </is>
      </c>
      <c r="P14" s="591" t="n"/>
      <c r="Q14" s="673" t="n"/>
      <c r="R14" s="591" t="n"/>
      <c r="S14" s="712" t="inlineStr">
        <is>
          <t xml:space="preserve">Apie </t>
        </is>
      </c>
      <c r="T14" s="676" t="n"/>
      <c r="U14" s="696" t="inlineStr">
        <is>
          <t xml:space="preserve">Natasha </t>
        </is>
      </c>
      <c r="V14" s="673" t="n"/>
      <c r="W14" s="676" t="n"/>
      <c r="X14" s="876" t="n"/>
      <c r="Y14" s="676" t="n"/>
      <c r="Z14" s="673" t="n"/>
      <c r="AA14" s="591" t="n"/>
      <c r="AB14" s="591" t="n"/>
      <c r="AC14" s="591" t="n"/>
      <c r="AD14" s="591" t="n"/>
      <c r="AE14" s="591" t="n"/>
      <c r="AF14" s="591" t="n"/>
      <c r="AG14" s="591" t="n"/>
      <c r="AH14" s="591" t="n"/>
      <c r="AI14" s="591" t="n"/>
    </row>
    <row r="15" ht="21" customHeight="1" s="562">
      <c r="A15" s="781" t="n">
        <v>45669</v>
      </c>
      <c r="B15" s="782" t="inlineStr">
        <is>
          <t>Monday</t>
        </is>
      </c>
      <c r="C15" s="676" t="n"/>
      <c r="D15" s="680" t="inlineStr">
        <is>
          <t xml:space="preserve">Theron </t>
        </is>
      </c>
      <c r="E15" s="676" t="n"/>
      <c r="F15" s="693" t="inlineStr">
        <is>
          <t xml:space="preserve">Apie </t>
        </is>
      </c>
      <c r="G15" s="676" t="n"/>
      <c r="H15" s="699" t="inlineStr">
        <is>
          <t xml:space="preserve">Lotz </t>
        </is>
      </c>
      <c r="I15" s="887" t="inlineStr">
        <is>
          <t xml:space="preserve">Klientjie </t>
        </is>
      </c>
      <c r="J15" s="692" t="inlineStr">
        <is>
          <t>Bierman</t>
        </is>
      </c>
      <c r="K15" s="591" t="n"/>
      <c r="L15" s="687" t="inlineStr">
        <is>
          <t xml:space="preserve">Johnstons </t>
        </is>
      </c>
      <c r="M15" s="830" t="inlineStr">
        <is>
          <t>Scroope-R450</t>
        </is>
      </c>
      <c r="N15" s="807" t="inlineStr">
        <is>
          <t>Julia Ann</t>
        </is>
      </c>
      <c r="O15" s="687" t="inlineStr">
        <is>
          <t xml:space="preserve">Natasha </t>
        </is>
      </c>
      <c r="P15" s="591" t="n"/>
      <c r="Q15" s="673" t="n"/>
      <c r="R15" s="591" t="n"/>
      <c r="S15" s="676" t="n"/>
      <c r="T15" s="678" t="inlineStr">
        <is>
          <t>Paoadopoulos</t>
        </is>
      </c>
      <c r="U15" s="888" t="inlineStr">
        <is>
          <t xml:space="preserve">Ras </t>
        </is>
      </c>
      <c r="V15" s="675" t="inlineStr">
        <is>
          <t>Sui Fon</t>
        </is>
      </c>
      <c r="W15" s="676" t="n"/>
      <c r="X15" s="876" t="n"/>
      <c r="Y15" s="676" t="n"/>
      <c r="Z15" s="673" t="n"/>
      <c r="AA15" s="591" t="n"/>
      <c r="AB15" s="591" t="n"/>
      <c r="AC15" s="591" t="n"/>
      <c r="AD15" s="591" t="n"/>
      <c r="AE15" s="591" t="n"/>
      <c r="AF15" s="591" t="n"/>
      <c r="AG15" s="591" t="n"/>
      <c r="AH15" s="591" t="n"/>
      <c r="AI15" s="591" t="n"/>
    </row>
    <row r="16" ht="21" customHeight="1" s="562">
      <c r="A16" s="781" t="n">
        <v>45670</v>
      </c>
      <c r="B16" s="782" t="inlineStr">
        <is>
          <t>Tuesday</t>
        </is>
      </c>
      <c r="C16" s="676" t="n"/>
      <c r="D16" s="694" t="inlineStr">
        <is>
          <t xml:space="preserve">Theron </t>
        </is>
      </c>
      <c r="E16" s="676" t="n"/>
      <c r="F16" s="699" t="inlineStr">
        <is>
          <t xml:space="preserve">Apie </t>
        </is>
      </c>
      <c r="G16" s="676" t="n"/>
      <c r="H16" s="712" t="inlineStr">
        <is>
          <t xml:space="preserve">Lotz </t>
        </is>
      </c>
      <c r="I16" s="887" t="inlineStr">
        <is>
          <t xml:space="preserve">Klientjie </t>
        </is>
      </c>
      <c r="J16" s="698" t="inlineStr">
        <is>
          <t>Bierman</t>
        </is>
      </c>
      <c r="K16" s="591" t="n"/>
      <c r="L16" s="687" t="inlineStr">
        <is>
          <t xml:space="preserve">Johnstons </t>
        </is>
      </c>
      <c r="M16" s="591" t="n"/>
      <c r="N16" s="807" t="inlineStr">
        <is>
          <t>Julia Ann</t>
        </is>
      </c>
      <c r="O16" s="889" t="inlineStr">
        <is>
          <t xml:space="preserve">Natasha </t>
        </is>
      </c>
      <c r="P16" s="591" t="n"/>
      <c r="Q16" s="746" t="n"/>
      <c r="R16" s="591" t="n"/>
      <c r="S16" s="676" t="n"/>
      <c r="T16" s="688" t="inlineStr">
        <is>
          <t>Paoadopoulos</t>
        </is>
      </c>
      <c r="U16" s="878" t="inlineStr">
        <is>
          <t xml:space="preserve">Ras </t>
        </is>
      </c>
      <c r="V16" s="687" t="inlineStr">
        <is>
          <t>Sui Fon</t>
        </is>
      </c>
      <c r="W16" s="676" t="n"/>
      <c r="X16" s="876" t="n"/>
      <c r="Y16" s="676" t="n"/>
      <c r="Z16" s="673" t="n"/>
      <c r="AA16" s="591" t="n"/>
      <c r="AB16" s="591" t="n"/>
      <c r="AC16" s="591" t="n"/>
      <c r="AD16" s="591" t="n"/>
      <c r="AE16" s="591" t="n"/>
      <c r="AF16" s="591" t="n"/>
      <c r="AG16" s="591" t="n"/>
      <c r="AH16" s="591" t="n"/>
      <c r="AI16" s="591" t="n"/>
    </row>
    <row r="17" ht="21" customHeight="1" s="562">
      <c r="A17" s="781" t="n">
        <v>45671</v>
      </c>
      <c r="B17" s="782" t="inlineStr">
        <is>
          <t>Wednesday</t>
        </is>
      </c>
      <c r="C17" s="676" t="n"/>
      <c r="D17" s="694" t="inlineStr">
        <is>
          <t xml:space="preserve">Theron </t>
        </is>
      </c>
      <c r="E17" s="675" t="inlineStr">
        <is>
          <t xml:space="preserve">Natasha </t>
        </is>
      </c>
      <c r="F17" s="699" t="inlineStr">
        <is>
          <t xml:space="preserve">Apie </t>
        </is>
      </c>
      <c r="G17" s="676" t="n"/>
      <c r="H17" s="717" t="n"/>
      <c r="I17" s="838" t="inlineStr">
        <is>
          <t xml:space="preserve">Klientjie </t>
        </is>
      </c>
      <c r="J17" s="698" t="inlineStr">
        <is>
          <t>Bierman</t>
        </is>
      </c>
      <c r="K17" s="591" t="n"/>
      <c r="L17" s="696" t="inlineStr">
        <is>
          <t xml:space="preserve">Johnstons </t>
        </is>
      </c>
      <c r="M17" s="591" t="n"/>
      <c r="N17" s="807" t="inlineStr">
        <is>
          <t>Julia Ann</t>
        </is>
      </c>
      <c r="O17" s="717" t="n"/>
      <c r="P17" s="591" t="n"/>
      <c r="Q17" s="890" t="inlineStr">
        <is>
          <t xml:space="preserve">Boets </t>
        </is>
      </c>
      <c r="R17" s="591" t="n"/>
      <c r="S17" s="808" t="inlineStr">
        <is>
          <t xml:space="preserve">Lotz </t>
        </is>
      </c>
      <c r="T17" s="877" t="inlineStr">
        <is>
          <t>Paoadopoulos</t>
        </is>
      </c>
      <c r="U17" s="878" t="inlineStr">
        <is>
          <t xml:space="preserve">Ras </t>
        </is>
      </c>
      <c r="V17" s="687" t="inlineStr">
        <is>
          <t>Sui Fon</t>
        </is>
      </c>
      <c r="W17" s="676" t="n"/>
      <c r="X17" s="876" t="n"/>
      <c r="Y17" s="676" t="n"/>
      <c r="Z17" s="673" t="n"/>
      <c r="AA17" s="591" t="n"/>
      <c r="AB17" s="591" t="n"/>
      <c r="AC17" s="591" t="n"/>
      <c r="AD17" s="591" t="n"/>
      <c r="AE17" s="591" t="n"/>
      <c r="AF17" s="591" t="n"/>
      <c r="AG17" s="591" t="n"/>
      <c r="AH17" s="591" t="n"/>
      <c r="AI17" s="591" t="n"/>
    </row>
    <row r="18" ht="21" customHeight="1" s="562">
      <c r="A18" s="781" t="n">
        <v>45672</v>
      </c>
      <c r="B18" s="782" t="inlineStr">
        <is>
          <t>Thursday</t>
        </is>
      </c>
      <c r="C18" s="675" t="inlineStr">
        <is>
          <t xml:space="preserve">Johnstons </t>
        </is>
      </c>
      <c r="D18" s="694" t="inlineStr">
        <is>
          <t xml:space="preserve">Theron </t>
        </is>
      </c>
      <c r="E18" s="696" t="inlineStr">
        <is>
          <t xml:space="preserve">Natasha </t>
        </is>
      </c>
      <c r="F18" s="712" t="inlineStr">
        <is>
          <t xml:space="preserve">Apie </t>
        </is>
      </c>
      <c r="G18" s="676" t="n"/>
      <c r="H18" s="673" t="n"/>
      <c r="I18" s="838" t="inlineStr">
        <is>
          <t xml:space="preserve">Klientjie </t>
        </is>
      </c>
      <c r="J18" s="698" t="inlineStr">
        <is>
          <t>Bierman</t>
        </is>
      </c>
      <c r="K18" s="591" t="n"/>
      <c r="L18" s="717" t="n"/>
      <c r="M18" s="591" t="n"/>
      <c r="N18" s="807" t="inlineStr">
        <is>
          <t>Julia Ann</t>
        </is>
      </c>
      <c r="O18" s="673" t="n"/>
      <c r="P18" s="591" t="n"/>
      <c r="Q18" s="890" t="inlineStr">
        <is>
          <t xml:space="preserve">Boets </t>
        </is>
      </c>
      <c r="R18" s="591" t="n"/>
      <c r="S18" s="891" t="inlineStr">
        <is>
          <t xml:space="preserve">Lotz </t>
        </is>
      </c>
      <c r="T18" s="877" t="inlineStr">
        <is>
          <t>Paoadopoulos</t>
        </is>
      </c>
      <c r="U18" s="878" t="inlineStr">
        <is>
          <t xml:space="preserve">Ras </t>
        </is>
      </c>
      <c r="V18" s="889" t="inlineStr">
        <is>
          <t>Sui Fon</t>
        </is>
      </c>
      <c r="W18" s="892" t="inlineStr">
        <is>
          <t xml:space="preserve">Christina </t>
        </is>
      </c>
      <c r="X18" s="876" t="n"/>
      <c r="Y18" s="676" t="n"/>
      <c r="Z18" s="673" t="n"/>
      <c r="AA18" s="591" t="n"/>
      <c r="AB18" s="591" t="n"/>
      <c r="AC18" s="591" t="n"/>
      <c r="AD18" s="591" t="n"/>
      <c r="AE18" s="591" t="n"/>
      <c r="AF18" s="591" t="n"/>
      <c r="AG18" s="591" t="n"/>
      <c r="AH18" s="591" t="n"/>
      <c r="AI18" s="591" t="n"/>
    </row>
    <row r="19" ht="21" customHeight="1" s="562">
      <c r="A19" s="781" t="n">
        <v>45673</v>
      </c>
      <c r="B19" s="782" t="inlineStr">
        <is>
          <t>Friday</t>
        </is>
      </c>
      <c r="C19" s="675" t="inlineStr">
        <is>
          <t xml:space="preserve">Johnstons </t>
        </is>
      </c>
      <c r="D19" s="800" t="inlineStr">
        <is>
          <t xml:space="preserve">Theron </t>
        </is>
      </c>
      <c r="E19" s="676" t="n"/>
      <c r="F19" s="676" t="n"/>
      <c r="G19" s="676" t="n"/>
      <c r="H19" s="699" t="inlineStr">
        <is>
          <t xml:space="preserve">Lotz </t>
        </is>
      </c>
      <c r="I19" s="838" t="inlineStr">
        <is>
          <t xml:space="preserve">Klientjie </t>
        </is>
      </c>
      <c r="J19" s="711" t="inlineStr">
        <is>
          <t>Bierman</t>
        </is>
      </c>
      <c r="K19" s="591" t="n"/>
      <c r="L19" s="673" t="n"/>
      <c r="M19" s="591" t="n"/>
      <c r="N19" s="807" t="inlineStr">
        <is>
          <t>Julia Ann</t>
        </is>
      </c>
      <c r="O19" s="673" t="n"/>
      <c r="P19" s="591" t="n"/>
      <c r="Q19" s="677" t="inlineStr">
        <is>
          <t xml:space="preserve">Boets </t>
        </is>
      </c>
      <c r="R19" s="591" t="n"/>
      <c r="S19" s="693" t="inlineStr">
        <is>
          <t xml:space="preserve">Apie </t>
        </is>
      </c>
      <c r="T19" s="688" t="inlineStr">
        <is>
          <t>Paoadopoulos</t>
        </is>
      </c>
      <c r="U19" s="893" t="inlineStr">
        <is>
          <t xml:space="preserve">Ras </t>
        </is>
      </c>
      <c r="V19" s="717" t="n"/>
      <c r="W19" s="676" t="n"/>
      <c r="X19" s="876" t="n"/>
      <c r="Y19" s="676" t="n"/>
      <c r="Z19" s="673" t="n"/>
      <c r="AA19" s="591" t="n"/>
      <c r="AB19" s="591" t="n"/>
      <c r="AC19" s="591" t="n"/>
      <c r="AD19" s="591" t="n"/>
      <c r="AE19" s="591" t="n"/>
      <c r="AF19" s="591" t="n"/>
      <c r="AG19" s="591" t="n"/>
      <c r="AH19" s="591" t="n"/>
      <c r="AI19" s="591" t="n"/>
    </row>
    <row r="20" ht="19.5" customHeight="1" s="562">
      <c r="A20" s="781" t="n">
        <v>45674</v>
      </c>
      <c r="B20" s="782" t="inlineStr">
        <is>
          <t>Saturday</t>
        </is>
      </c>
      <c r="C20" s="687" t="inlineStr">
        <is>
          <t xml:space="preserve">Johnstons </t>
        </is>
      </c>
      <c r="D20" s="591" t="n"/>
      <c r="E20" s="676" t="n"/>
      <c r="F20" s="676" t="n"/>
      <c r="G20" s="676" t="n"/>
      <c r="H20" s="699" t="inlineStr">
        <is>
          <t xml:space="preserve">Lotz </t>
        </is>
      </c>
      <c r="I20" s="827" t="inlineStr">
        <is>
          <t xml:space="preserve">Klientjie </t>
        </is>
      </c>
      <c r="J20" s="679" t="n"/>
      <c r="K20" s="591" t="n"/>
      <c r="L20" s="673" t="n"/>
      <c r="M20" s="591" t="n"/>
      <c r="N20" s="807" t="inlineStr">
        <is>
          <t>Julia Ann</t>
        </is>
      </c>
      <c r="O20" s="673" t="n"/>
      <c r="P20" s="591" t="n"/>
      <c r="Q20" s="673" t="n"/>
      <c r="R20" s="591" t="n"/>
      <c r="S20" s="699" t="inlineStr">
        <is>
          <t xml:space="preserve">Apie </t>
        </is>
      </c>
      <c r="T20" s="688" t="inlineStr">
        <is>
          <t>Paoadopoulos</t>
        </is>
      </c>
      <c r="U20" s="893" t="inlineStr">
        <is>
          <t xml:space="preserve">Ras </t>
        </is>
      </c>
      <c r="V20" s="673" t="n"/>
      <c r="W20" s="676" t="n"/>
      <c r="X20" s="876" t="n"/>
      <c r="Y20" s="676" t="n"/>
      <c r="Z20" s="673" t="n"/>
      <c r="AA20" s="591" t="n"/>
      <c r="AB20" s="591" t="n"/>
      <c r="AC20" s="591" t="n"/>
      <c r="AD20" s="591" t="n"/>
      <c r="AE20" s="591" t="n"/>
      <c r="AF20" s="591" t="n"/>
      <c r="AG20" s="591" t="n"/>
      <c r="AH20" s="591" t="n"/>
      <c r="AI20" s="591" t="n"/>
    </row>
    <row r="21" ht="21" customHeight="1" s="562">
      <c r="A21" s="781" t="n">
        <v>45675</v>
      </c>
      <c r="B21" s="782" t="inlineStr">
        <is>
          <t>Sunday</t>
        </is>
      </c>
      <c r="C21" s="687" t="inlineStr">
        <is>
          <t xml:space="preserve">Johnstons </t>
        </is>
      </c>
      <c r="D21" s="591" t="n"/>
      <c r="E21" s="676" t="n"/>
      <c r="F21" s="676" t="n"/>
      <c r="G21" s="676" t="n"/>
      <c r="H21" s="699" t="inlineStr">
        <is>
          <t xml:space="preserve">Lotz </t>
        </is>
      </c>
      <c r="I21" s="827" t="inlineStr">
        <is>
          <t xml:space="preserve">Klientjie </t>
        </is>
      </c>
      <c r="J21" s="679" t="n"/>
      <c r="K21" s="591" t="n"/>
      <c r="L21" s="673" t="n"/>
      <c r="M21" s="591" t="n"/>
      <c r="N21" s="807" t="inlineStr">
        <is>
          <t>Julia Ann</t>
        </is>
      </c>
      <c r="O21" s="673" t="n"/>
      <c r="P21" s="591" t="n"/>
      <c r="Q21" s="673" t="n"/>
      <c r="R21" s="591" t="n"/>
      <c r="S21" s="831" t="inlineStr">
        <is>
          <t xml:space="preserve">Apie </t>
        </is>
      </c>
      <c r="T21" s="724" t="inlineStr">
        <is>
          <t>Paoadopoulos</t>
        </is>
      </c>
      <c r="U21" s="894" t="inlineStr">
        <is>
          <t xml:space="preserve">Ras </t>
        </is>
      </c>
      <c r="V21" s="673" t="n"/>
      <c r="W21" s="676" t="n"/>
      <c r="X21" s="876" t="n"/>
      <c r="Y21" s="676" t="n"/>
      <c r="Z21" s="673" t="n"/>
      <c r="AA21" s="591" t="n"/>
      <c r="AB21" s="591" t="n"/>
      <c r="AC21" s="591" t="n"/>
      <c r="AD21" s="591" t="n"/>
      <c r="AE21" s="591" t="n"/>
      <c r="AF21" s="591" t="n"/>
      <c r="AG21" s="591" t="n"/>
      <c r="AH21" s="591" t="n"/>
      <c r="AI21" s="591" t="n"/>
    </row>
    <row r="22" ht="21" customHeight="1" s="562">
      <c r="A22" s="781" t="n">
        <v>45676</v>
      </c>
      <c r="B22" s="782" t="inlineStr">
        <is>
          <t>Monday</t>
        </is>
      </c>
      <c r="C22" s="883" t="inlineStr">
        <is>
          <t xml:space="preserve">Johnstons </t>
        </is>
      </c>
      <c r="D22" s="680" t="inlineStr">
        <is>
          <t xml:space="preserve">Theron </t>
        </is>
      </c>
      <c r="E22" s="678" t="inlineStr">
        <is>
          <t>Paoadopoulos</t>
        </is>
      </c>
      <c r="F22" s="693" t="inlineStr">
        <is>
          <t xml:space="preserve">Apie </t>
        </is>
      </c>
      <c r="G22" s="676" t="n"/>
      <c r="H22" s="699" t="inlineStr">
        <is>
          <t xml:space="preserve">Lotz </t>
        </is>
      </c>
      <c r="I22" s="827" t="inlineStr">
        <is>
          <t xml:space="preserve">Klientjie </t>
        </is>
      </c>
      <c r="J22" s="692" t="inlineStr">
        <is>
          <t>Bierman</t>
        </is>
      </c>
      <c r="K22" s="591" t="n"/>
      <c r="L22" s="673" t="n"/>
      <c r="M22" s="591" t="n"/>
      <c r="N22" s="811" t="inlineStr">
        <is>
          <t>Julia Ann</t>
        </is>
      </c>
      <c r="O22" s="673" t="n"/>
      <c r="P22" s="591" t="n"/>
      <c r="Q22" s="786" t="inlineStr">
        <is>
          <t xml:space="preserve">Boets </t>
        </is>
      </c>
      <c r="R22" s="591" t="n"/>
      <c r="S22" s="717" t="n"/>
      <c r="T22" s="591" t="n"/>
      <c r="U22" s="717" t="n"/>
      <c r="V22" s="679" t="n"/>
      <c r="W22" s="676" t="n"/>
      <c r="X22" s="876" t="n"/>
      <c r="Y22" s="676" t="n"/>
      <c r="Z22" s="673" t="n"/>
      <c r="AA22" s="591" t="n"/>
      <c r="AB22" s="591" t="n"/>
      <c r="AC22" s="591" t="n"/>
      <c r="AD22" s="591" t="n"/>
      <c r="AE22" s="591" t="n"/>
      <c r="AF22" s="591" t="n"/>
      <c r="AG22" s="591" t="n"/>
      <c r="AH22" s="591" t="n"/>
      <c r="AI22" s="591" t="n"/>
    </row>
    <row r="23" ht="21" customHeight="1" s="562">
      <c r="A23" s="781" t="n">
        <v>45677</v>
      </c>
      <c r="B23" s="782" t="inlineStr">
        <is>
          <t>Tuesday</t>
        </is>
      </c>
      <c r="C23" s="885" t="inlineStr">
        <is>
          <t xml:space="preserve">Johnstons </t>
        </is>
      </c>
      <c r="D23" s="694" t="inlineStr">
        <is>
          <t xml:space="preserve">Theron </t>
        </is>
      </c>
      <c r="E23" s="688" t="inlineStr">
        <is>
          <t>Paoadopoulos</t>
        </is>
      </c>
      <c r="F23" s="699" t="inlineStr">
        <is>
          <t xml:space="preserve">Apie </t>
        </is>
      </c>
      <c r="G23" s="676" t="n"/>
      <c r="H23" s="699" t="inlineStr">
        <is>
          <t xml:space="preserve">Lotz </t>
        </is>
      </c>
      <c r="I23" s="827" t="inlineStr">
        <is>
          <t xml:space="preserve">Klientjie </t>
        </is>
      </c>
      <c r="J23" s="698" t="inlineStr">
        <is>
          <t>Bierman</t>
        </is>
      </c>
      <c r="K23" s="591" t="n"/>
      <c r="L23" s="673" t="n"/>
      <c r="M23" s="591" t="n"/>
      <c r="N23" s="676" t="n"/>
      <c r="O23" s="675" t="inlineStr">
        <is>
          <t xml:space="preserve">Johnstons </t>
        </is>
      </c>
      <c r="P23" s="591" t="n"/>
      <c r="Q23" s="677" t="inlineStr">
        <is>
          <t xml:space="preserve">Boets </t>
        </is>
      </c>
      <c r="R23" s="591" t="n"/>
      <c r="S23" s="673" t="n"/>
      <c r="T23" s="591" t="n"/>
      <c r="U23" s="673" t="n"/>
      <c r="V23" s="679" t="n"/>
      <c r="W23" s="676" t="n"/>
      <c r="X23" s="801" t="n"/>
      <c r="Y23" s="718" t="inlineStr">
        <is>
          <t xml:space="preserve">Du Plessis </t>
        </is>
      </c>
      <c r="Z23" s="673" t="n"/>
      <c r="AA23" s="591" t="n"/>
      <c r="AB23" s="591" t="n"/>
      <c r="AC23" s="591" t="n"/>
      <c r="AD23" s="591" t="n"/>
      <c r="AE23" s="591" t="n"/>
      <c r="AF23" s="591" t="n"/>
      <c r="AG23" s="591" t="n"/>
      <c r="AH23" s="591" t="n"/>
      <c r="AI23" s="591" t="n"/>
    </row>
    <row r="24" ht="21" customHeight="1" s="562">
      <c r="A24" s="781" t="n">
        <v>45678</v>
      </c>
      <c r="B24" s="782" t="inlineStr">
        <is>
          <t>Wednesday</t>
        </is>
      </c>
      <c r="C24" s="591" t="n"/>
      <c r="D24" s="694" t="inlineStr">
        <is>
          <t xml:space="preserve">Theron </t>
        </is>
      </c>
      <c r="E24" s="688" t="inlineStr">
        <is>
          <t>Paoadopoulos</t>
        </is>
      </c>
      <c r="F24" s="699" t="inlineStr">
        <is>
          <t xml:space="preserve">Apie </t>
        </is>
      </c>
      <c r="G24" s="676" t="n"/>
      <c r="H24" s="699" t="inlineStr">
        <is>
          <t xml:space="preserve">Lotz </t>
        </is>
      </c>
      <c r="I24" s="827" t="inlineStr">
        <is>
          <t xml:space="preserve">Klientjie </t>
        </is>
      </c>
      <c r="J24" s="698" t="inlineStr">
        <is>
          <t>Bierman</t>
        </is>
      </c>
      <c r="K24" s="591" t="n"/>
      <c r="L24" s="673" t="n"/>
      <c r="M24" s="591" t="n"/>
      <c r="N24" s="676" t="n"/>
      <c r="O24" s="687" t="inlineStr">
        <is>
          <t xml:space="preserve">Johnstons </t>
        </is>
      </c>
      <c r="P24" s="591" t="n"/>
      <c r="Q24" s="677" t="inlineStr">
        <is>
          <t xml:space="preserve">Boets </t>
        </is>
      </c>
      <c r="R24" s="591" t="n"/>
      <c r="S24" s="673" t="n"/>
      <c r="T24" s="591" t="n"/>
      <c r="U24" s="673" t="n"/>
      <c r="V24" s="679" t="n"/>
      <c r="W24" s="676" t="n"/>
      <c r="X24" s="801" t="n"/>
      <c r="Y24" s="720" t="inlineStr">
        <is>
          <t xml:space="preserve">Du Plessis </t>
        </is>
      </c>
      <c r="Z24" s="673" t="n"/>
      <c r="AA24" s="591" t="n"/>
      <c r="AB24" s="591" t="n"/>
      <c r="AC24" s="591" t="n"/>
      <c r="AD24" s="591" t="n"/>
      <c r="AE24" s="591" t="n"/>
      <c r="AF24" s="591" t="n"/>
      <c r="AG24" s="591" t="n"/>
      <c r="AH24" s="591" t="n"/>
      <c r="AI24" s="591" t="n"/>
    </row>
    <row r="25" ht="21" customHeight="1" s="562">
      <c r="A25" s="781" t="n">
        <v>45679</v>
      </c>
      <c r="B25" s="782" t="inlineStr">
        <is>
          <t>Thursday</t>
        </is>
      </c>
      <c r="C25" s="591" t="n"/>
      <c r="D25" s="694" t="inlineStr">
        <is>
          <t xml:space="preserve">Theron </t>
        </is>
      </c>
      <c r="E25" s="688" t="inlineStr">
        <is>
          <t>Paoadopoulos</t>
        </is>
      </c>
      <c r="F25" s="699" t="inlineStr">
        <is>
          <t xml:space="preserve">Apie </t>
        </is>
      </c>
      <c r="G25" s="676" t="n"/>
      <c r="H25" s="874" t="inlineStr">
        <is>
          <t xml:space="preserve">Le Roux </t>
        </is>
      </c>
      <c r="I25" s="677" t="inlineStr">
        <is>
          <t xml:space="preserve">Klientjie </t>
        </is>
      </c>
      <c r="J25" s="698" t="inlineStr">
        <is>
          <t>Bierman</t>
        </is>
      </c>
      <c r="K25" s="591" t="n"/>
      <c r="L25" s="673" t="n"/>
      <c r="M25" s="591" t="n"/>
      <c r="N25" s="676" t="n"/>
      <c r="O25" s="687" t="inlineStr">
        <is>
          <t xml:space="preserve">Johnstons </t>
        </is>
      </c>
      <c r="P25" s="591" t="n"/>
      <c r="Q25" s="733" t="n"/>
      <c r="R25" s="591" t="n"/>
      <c r="S25" s="673" t="n"/>
      <c r="T25" s="879" t="inlineStr">
        <is>
          <t xml:space="preserve">Lotz </t>
        </is>
      </c>
      <c r="U25" s="673" t="n"/>
      <c r="V25" s="679" t="n"/>
      <c r="W25" s="676" t="n"/>
      <c r="X25" s="801" t="n"/>
      <c r="Y25" s="720" t="inlineStr">
        <is>
          <t xml:space="preserve">Du Plessis </t>
        </is>
      </c>
      <c r="Z25" s="673" t="n"/>
      <c r="AA25" s="591" t="n"/>
      <c r="AB25" s="591" t="n"/>
      <c r="AC25" s="591" t="n"/>
      <c r="AD25" s="591" t="n"/>
      <c r="AE25" s="591" t="n"/>
      <c r="AF25" s="591" t="n"/>
      <c r="AG25" s="591" t="n"/>
      <c r="AH25" s="591" t="n"/>
      <c r="AI25" s="591" t="n"/>
    </row>
    <row r="26" ht="21" customHeight="1" s="562">
      <c r="A26" s="781" t="n">
        <v>45680</v>
      </c>
      <c r="B26" s="782" t="inlineStr">
        <is>
          <t>Friday</t>
        </is>
      </c>
      <c r="C26" s="676" t="n"/>
      <c r="D26" s="683" t="inlineStr">
        <is>
          <t xml:space="preserve">Theron </t>
        </is>
      </c>
      <c r="E26" s="688" t="inlineStr">
        <is>
          <t>Paoadopoulos</t>
        </is>
      </c>
      <c r="F26" s="699" t="inlineStr">
        <is>
          <t xml:space="preserve">Apie </t>
        </is>
      </c>
      <c r="G26" s="676" t="n"/>
      <c r="H26" s="699" t="inlineStr">
        <is>
          <t xml:space="preserve">Lotz </t>
        </is>
      </c>
      <c r="I26" s="677" t="inlineStr">
        <is>
          <t xml:space="preserve">Klientjie </t>
        </is>
      </c>
      <c r="J26" s="711" t="inlineStr">
        <is>
          <t>Bierman</t>
        </is>
      </c>
      <c r="K26" s="591" t="n"/>
      <c r="L26" s="673" t="n"/>
      <c r="M26" s="591" t="n"/>
      <c r="N26" s="676" t="n"/>
      <c r="O26" s="687" t="inlineStr">
        <is>
          <t xml:space="preserve">Johnstons </t>
        </is>
      </c>
      <c r="P26" s="591" t="n"/>
      <c r="Q26" s="799" t="inlineStr">
        <is>
          <t xml:space="preserve">Boets </t>
        </is>
      </c>
      <c r="R26" s="591" t="n"/>
      <c r="S26" s="673" t="n"/>
      <c r="T26" s="591" t="n"/>
      <c r="U26" s="673" t="n"/>
      <c r="V26" s="679" t="n"/>
      <c r="W26" s="676" t="n"/>
      <c r="X26" s="801" t="n"/>
      <c r="Y26" s="702" t="inlineStr">
        <is>
          <t xml:space="preserve">Du Plessis </t>
        </is>
      </c>
      <c r="Z26" s="673" t="n"/>
      <c r="AA26" s="591" t="n"/>
      <c r="AB26" s="591" t="n"/>
      <c r="AC26" s="591" t="n"/>
      <c r="AD26" s="591" t="n"/>
      <c r="AE26" s="591" t="n"/>
      <c r="AF26" s="591" t="n"/>
      <c r="AG26" s="591" t="n"/>
      <c r="AH26" s="591" t="n"/>
      <c r="AI26" s="591" t="n"/>
    </row>
    <row r="27" ht="19.5" customHeight="1" s="562">
      <c r="A27" s="781" t="n">
        <v>45681</v>
      </c>
      <c r="B27" s="782" t="inlineStr">
        <is>
          <t>Saturday</t>
        </is>
      </c>
      <c r="C27" s="676" t="n"/>
      <c r="D27" s="676" t="n"/>
      <c r="E27" s="688" t="inlineStr">
        <is>
          <t>Paoadopoulos</t>
        </is>
      </c>
      <c r="F27" s="699" t="inlineStr">
        <is>
          <t xml:space="preserve">Apie </t>
        </is>
      </c>
      <c r="G27" s="676" t="n"/>
      <c r="H27" s="676" t="n"/>
      <c r="I27" s="677" t="inlineStr">
        <is>
          <t xml:space="preserve">Klientjie </t>
        </is>
      </c>
      <c r="J27" s="679" t="n"/>
      <c r="K27" s="591" t="n"/>
      <c r="L27" s="673" t="n"/>
      <c r="M27" s="591" t="n"/>
      <c r="N27" s="676" t="n"/>
      <c r="O27" s="687" t="inlineStr">
        <is>
          <t xml:space="preserve">Johnstons </t>
        </is>
      </c>
      <c r="P27" s="591" t="n"/>
      <c r="Q27" s="673" t="n"/>
      <c r="R27" s="591" t="n"/>
      <c r="S27" s="673" t="n"/>
      <c r="T27" s="591" t="n"/>
      <c r="U27" s="673" t="n"/>
      <c r="V27" s="679" t="n"/>
      <c r="W27" s="676" t="n"/>
      <c r="X27" s="876" t="n"/>
      <c r="Y27" s="676" t="n"/>
      <c r="Z27" s="673" t="n"/>
      <c r="AA27" s="591" t="n"/>
      <c r="AB27" s="591" t="n"/>
      <c r="AC27" s="591" t="n"/>
      <c r="AD27" s="591" t="n"/>
      <c r="AE27" s="591" t="n"/>
      <c r="AF27" s="591" t="n"/>
      <c r="AG27" s="591" t="n"/>
      <c r="AH27" s="591" t="n"/>
      <c r="AI27" s="591" t="n"/>
    </row>
    <row r="28" ht="21" customHeight="1" s="562">
      <c r="A28" s="781" t="n">
        <v>45682</v>
      </c>
      <c r="B28" s="782" t="inlineStr">
        <is>
          <t>Sunday</t>
        </is>
      </c>
      <c r="C28" s="676" t="n"/>
      <c r="D28" s="676" t="n"/>
      <c r="E28" s="724" t="inlineStr">
        <is>
          <t>Paoadopoulos</t>
        </is>
      </c>
      <c r="F28" s="699" t="inlineStr">
        <is>
          <t xml:space="preserve">Apie </t>
        </is>
      </c>
      <c r="G28" s="676" t="n"/>
      <c r="H28" s="676" t="n"/>
      <c r="I28" s="799" t="inlineStr">
        <is>
          <t xml:space="preserve">Klientjie </t>
        </is>
      </c>
      <c r="J28" s="679" t="n"/>
      <c r="K28" s="591" t="n"/>
      <c r="L28" s="673" t="n"/>
      <c r="M28" s="591" t="n"/>
      <c r="N28" s="676" t="n"/>
      <c r="O28" s="696" t="inlineStr">
        <is>
          <t xml:space="preserve">Johnstons </t>
        </is>
      </c>
      <c r="P28" s="591" t="n"/>
      <c r="Q28" s="673" t="n"/>
      <c r="R28" s="591" t="n"/>
      <c r="S28" s="673" t="n"/>
      <c r="T28" s="591" t="n"/>
      <c r="U28" s="746" t="n"/>
      <c r="V28" s="679" t="n"/>
      <c r="W28" s="676" t="n"/>
      <c r="X28" s="876" t="n"/>
      <c r="Y28" s="676" t="n"/>
      <c r="Z28" s="673" t="n"/>
      <c r="AA28" s="591" t="n"/>
      <c r="AB28" s="591" t="n"/>
      <c r="AC28" s="591" t="n"/>
      <c r="AD28" s="591" t="n"/>
      <c r="AE28" s="591" t="n"/>
      <c r="AF28" s="591" t="n"/>
      <c r="AG28" s="591" t="n"/>
      <c r="AH28" s="591" t="n"/>
      <c r="AI28" s="591" t="n"/>
    </row>
    <row r="29" ht="21" customHeight="1" s="562">
      <c r="A29" s="781" t="n">
        <v>45683</v>
      </c>
      <c r="B29" s="782" t="inlineStr">
        <is>
          <t>Monday</t>
        </is>
      </c>
      <c r="C29" s="675" t="inlineStr">
        <is>
          <t xml:space="preserve">Johnstons </t>
        </is>
      </c>
      <c r="D29" s="680" t="inlineStr">
        <is>
          <t xml:space="preserve">Theron </t>
        </is>
      </c>
      <c r="E29" s="676" t="n"/>
      <c r="F29" s="699" t="inlineStr">
        <is>
          <t xml:space="preserve">Apie </t>
        </is>
      </c>
      <c r="G29" s="676" t="n"/>
      <c r="H29" s="676" t="n"/>
      <c r="I29" s="673" t="n"/>
      <c r="J29" s="692" t="inlineStr">
        <is>
          <t>Bierman</t>
        </is>
      </c>
      <c r="K29" s="591" t="n"/>
      <c r="L29" s="673" t="n"/>
      <c r="M29" s="591" t="n"/>
      <c r="N29" s="673" t="n"/>
      <c r="O29" s="679" t="n"/>
      <c r="P29" s="591" t="n"/>
      <c r="Q29" s="786" t="inlineStr">
        <is>
          <t xml:space="preserve">Boets </t>
        </is>
      </c>
      <c r="R29" s="591" t="n"/>
      <c r="S29" s="673" t="n"/>
      <c r="T29" s="877" t="inlineStr">
        <is>
          <t>Paoadopoulos</t>
        </is>
      </c>
      <c r="U29" s="814" t="inlineStr">
        <is>
          <t xml:space="preserve">Ras </t>
        </is>
      </c>
      <c r="V29" s="886" t="inlineStr">
        <is>
          <t>Sui Fon</t>
        </is>
      </c>
      <c r="W29" s="838" t="inlineStr">
        <is>
          <t xml:space="preserve">Klientjie </t>
        </is>
      </c>
      <c r="X29" s="675" t="inlineStr">
        <is>
          <t>Barnes</t>
        </is>
      </c>
      <c r="Y29" s="718" t="inlineStr">
        <is>
          <t xml:space="preserve">Du Plessis </t>
        </is>
      </c>
      <c r="Z29" s="673" t="n"/>
      <c r="AA29" s="591" t="n"/>
      <c r="AB29" s="591" t="n"/>
      <c r="AC29" s="591" t="n"/>
      <c r="AD29" s="591" t="n"/>
      <c r="AE29" s="591" t="n"/>
      <c r="AF29" s="591" t="n"/>
      <c r="AG29" s="591" t="n"/>
      <c r="AH29" s="591" t="n"/>
      <c r="AI29" s="591" t="n"/>
    </row>
    <row r="30" ht="21" customHeight="1" s="562">
      <c r="A30" s="781" t="n">
        <v>45684</v>
      </c>
      <c r="B30" s="782" t="inlineStr">
        <is>
          <t>Tuesday</t>
        </is>
      </c>
      <c r="C30" s="687" t="inlineStr">
        <is>
          <t xml:space="preserve">Johnstons </t>
        </is>
      </c>
      <c r="D30" s="694" t="inlineStr">
        <is>
          <t xml:space="preserve">Theron </t>
        </is>
      </c>
      <c r="E30" s="676" t="n"/>
      <c r="F30" s="699" t="inlineStr">
        <is>
          <t xml:space="preserve">Apie </t>
        </is>
      </c>
      <c r="G30" s="676" t="n"/>
      <c r="H30" s="676" t="n"/>
      <c r="I30" s="673" t="n"/>
      <c r="J30" s="698" t="inlineStr">
        <is>
          <t>Bierman</t>
        </is>
      </c>
      <c r="K30" s="591" t="n"/>
      <c r="L30" s="673" t="n"/>
      <c r="M30" s="591" t="n"/>
      <c r="N30" s="673" t="n"/>
      <c r="O30" s="679" t="n"/>
      <c r="P30" s="591" t="n"/>
      <c r="Q30" s="677" t="inlineStr">
        <is>
          <t xml:space="preserve">Boets </t>
        </is>
      </c>
      <c r="R30" s="591" t="n"/>
      <c r="S30" s="673" t="n"/>
      <c r="T30" s="877" t="inlineStr">
        <is>
          <t>Paoadopoulos</t>
        </is>
      </c>
      <c r="U30" s="893" t="inlineStr">
        <is>
          <t xml:space="preserve">Ras </t>
        </is>
      </c>
      <c r="V30" s="673" t="n"/>
      <c r="W30" s="838" t="inlineStr">
        <is>
          <t xml:space="preserve">Klientjie </t>
        </is>
      </c>
      <c r="X30" s="687" t="inlineStr">
        <is>
          <t>Barnes</t>
        </is>
      </c>
      <c r="Y30" s="720" t="inlineStr">
        <is>
          <t xml:space="preserve">Du Plessis </t>
        </is>
      </c>
      <c r="Z30" s="673" t="n"/>
      <c r="AA30" s="591" t="n"/>
      <c r="AB30" s="591" t="n"/>
      <c r="AC30" s="591" t="n"/>
      <c r="AD30" s="591" t="n"/>
      <c r="AE30" s="591" t="n"/>
      <c r="AF30" s="591" t="n"/>
      <c r="AG30" s="591" t="n"/>
      <c r="AH30" s="591" t="n"/>
      <c r="AI30" s="591" t="n"/>
    </row>
    <row r="31" ht="21" customHeight="1" s="562">
      <c r="A31" s="781" t="n">
        <v>45685</v>
      </c>
      <c r="B31" s="782" t="inlineStr">
        <is>
          <t>Wednesday</t>
        </is>
      </c>
      <c r="C31" s="687" t="inlineStr">
        <is>
          <t xml:space="preserve">Johnstons </t>
        </is>
      </c>
      <c r="D31" s="694" t="inlineStr">
        <is>
          <t xml:space="preserve">Theron </t>
        </is>
      </c>
      <c r="E31" s="676" t="n"/>
      <c r="F31" s="699" t="inlineStr">
        <is>
          <t xml:space="preserve">Apie </t>
        </is>
      </c>
      <c r="G31" s="676" t="n"/>
      <c r="H31" s="676" t="n"/>
      <c r="I31" s="673" t="n"/>
      <c r="J31" s="698" t="inlineStr">
        <is>
          <t>Bierman</t>
        </is>
      </c>
      <c r="K31" s="591" t="n"/>
      <c r="L31" s="673" t="n"/>
      <c r="M31" s="591" t="n"/>
      <c r="N31" s="673" t="n"/>
      <c r="O31" s="679" t="n"/>
      <c r="P31" s="591" t="n"/>
      <c r="Q31" s="677" t="inlineStr">
        <is>
          <t xml:space="preserve">Boets </t>
        </is>
      </c>
      <c r="R31" s="591" t="n"/>
      <c r="S31" s="673" t="n"/>
      <c r="T31" s="877" t="inlineStr">
        <is>
          <t>Paoadopoulos</t>
        </is>
      </c>
      <c r="U31" s="893" t="inlineStr">
        <is>
          <t xml:space="preserve">Ras </t>
        </is>
      </c>
      <c r="V31" s="886" t="inlineStr">
        <is>
          <t>Sui Fon</t>
        </is>
      </c>
      <c r="W31" s="838" t="inlineStr">
        <is>
          <t xml:space="preserve">Klientjie </t>
        </is>
      </c>
      <c r="X31" s="687" t="inlineStr">
        <is>
          <t>Barnes</t>
        </is>
      </c>
      <c r="Y31" s="720" t="inlineStr">
        <is>
          <t xml:space="preserve">Du Plessis </t>
        </is>
      </c>
      <c r="Z31" s="786" t="inlineStr">
        <is>
          <t>Blumenthal</t>
        </is>
      </c>
      <c r="AA31" s="591" t="n"/>
      <c r="AB31" s="591" t="n"/>
      <c r="AC31" s="591" t="n"/>
      <c r="AD31" s="591" t="n"/>
      <c r="AE31" s="591" t="n"/>
      <c r="AF31" s="591" t="n"/>
      <c r="AG31" s="591" t="n"/>
      <c r="AH31" s="591" t="n"/>
      <c r="AI31" s="591" t="n"/>
    </row>
    <row r="32" ht="21" customHeight="1" s="562">
      <c r="A32" s="781" t="n">
        <v>45686</v>
      </c>
      <c r="B32" s="782" t="inlineStr">
        <is>
          <t>Thursday</t>
        </is>
      </c>
      <c r="C32" s="696" t="inlineStr">
        <is>
          <t xml:space="preserve">Johnstons </t>
        </is>
      </c>
      <c r="D32" s="694" t="inlineStr">
        <is>
          <t xml:space="preserve">Theron </t>
        </is>
      </c>
      <c r="E32" s="676" t="n"/>
      <c r="F32" s="712" t="inlineStr">
        <is>
          <t xml:space="preserve">Apie </t>
        </is>
      </c>
      <c r="G32" s="676" t="n"/>
      <c r="H32" s="874" t="inlineStr">
        <is>
          <t xml:space="preserve">Le Roux </t>
        </is>
      </c>
      <c r="I32" s="673" t="n"/>
      <c r="J32" s="698" t="inlineStr">
        <is>
          <t>Bierman</t>
        </is>
      </c>
      <c r="K32" s="591" t="n"/>
      <c r="L32" s="673" t="n"/>
      <c r="M32" s="591" t="n"/>
      <c r="N32" s="673" t="n"/>
      <c r="O32" s="679" t="n"/>
      <c r="P32" s="591" t="n"/>
      <c r="Q32" s="677" t="inlineStr">
        <is>
          <t xml:space="preserve">Boets </t>
        </is>
      </c>
      <c r="R32" s="591" t="n"/>
      <c r="S32" s="746" t="n"/>
      <c r="T32" s="877" t="inlineStr">
        <is>
          <t>Paoadopoulos</t>
        </is>
      </c>
      <c r="U32" s="893" t="inlineStr">
        <is>
          <t xml:space="preserve">Ras </t>
        </is>
      </c>
      <c r="V32" s="673" t="n"/>
      <c r="W32" s="838" t="inlineStr">
        <is>
          <t xml:space="preserve">Klientjie </t>
        </is>
      </c>
      <c r="X32" s="687" t="inlineStr">
        <is>
          <t>Barnes</t>
        </is>
      </c>
      <c r="Y32" s="720" t="inlineStr">
        <is>
          <t xml:space="preserve">Du Plessis </t>
        </is>
      </c>
      <c r="Z32" s="677" t="inlineStr">
        <is>
          <t>Blumenthal</t>
        </is>
      </c>
      <c r="AA32" s="591" t="n"/>
      <c r="AB32" s="591" t="n"/>
      <c r="AC32" s="591" t="n"/>
      <c r="AD32" s="591" t="n"/>
      <c r="AE32" s="591" t="n"/>
      <c r="AF32" s="591" t="n"/>
      <c r="AG32" s="591" t="n"/>
      <c r="AH32" s="591" t="n"/>
      <c r="AI32" s="591" t="n"/>
    </row>
    <row r="33" ht="21" customHeight="1" s="562">
      <c r="A33" s="781" t="n">
        <v>45687</v>
      </c>
      <c r="B33" s="782" t="inlineStr">
        <is>
          <t>Friday</t>
        </is>
      </c>
      <c r="C33" s="676" t="n"/>
      <c r="D33" s="683" t="inlineStr">
        <is>
          <t xml:space="preserve">Theron </t>
        </is>
      </c>
      <c r="E33" s="676" t="n"/>
      <c r="F33" s="676" t="n"/>
      <c r="G33" s="700" t="inlineStr">
        <is>
          <t>Scroope</t>
        </is>
      </c>
      <c r="H33" s="591" t="n"/>
      <c r="I33" s="673" t="n"/>
      <c r="J33" s="711" t="inlineStr">
        <is>
          <t>Bierman</t>
        </is>
      </c>
      <c r="K33" s="591" t="n"/>
      <c r="L33" s="673" t="n"/>
      <c r="M33" s="834" t="inlineStr">
        <is>
          <t>Scroope</t>
        </is>
      </c>
      <c r="N33" s="673" t="n"/>
      <c r="O33" s="675" t="inlineStr">
        <is>
          <t xml:space="preserve">Johnstons </t>
        </is>
      </c>
      <c r="P33" s="591" t="n"/>
      <c r="Q33" s="799" t="inlineStr">
        <is>
          <t xml:space="preserve">Boets </t>
        </is>
      </c>
      <c r="R33" s="591" t="n"/>
      <c r="S33" s="895" t="inlineStr">
        <is>
          <t xml:space="preserve">Apie </t>
        </is>
      </c>
      <c r="T33" s="688" t="inlineStr">
        <is>
          <t>Paoadopoulos</t>
        </is>
      </c>
      <c r="U33" s="893" t="inlineStr">
        <is>
          <t xml:space="preserve">Ras </t>
        </is>
      </c>
      <c r="V33" s="886" t="inlineStr">
        <is>
          <t>Sui Fon</t>
        </is>
      </c>
      <c r="W33" s="838" t="inlineStr">
        <is>
          <t xml:space="preserve">Klientjie </t>
        </is>
      </c>
      <c r="X33" s="696" t="inlineStr">
        <is>
          <t>Barnes</t>
        </is>
      </c>
      <c r="Y33" s="702" t="inlineStr">
        <is>
          <t xml:space="preserve">Du Plessis </t>
        </is>
      </c>
      <c r="Z33" s="799" t="inlineStr">
        <is>
          <t>Blumenthal</t>
        </is>
      </c>
      <c r="AA33" s="591" t="n"/>
      <c r="AB33" s="591" t="n"/>
      <c r="AC33" s="591" t="n"/>
      <c r="AD33" s="591" t="n"/>
      <c r="AE33" s="591" t="n"/>
      <c r="AF33" s="591" t="n"/>
      <c r="AG33" s="591" t="n"/>
      <c r="AH33" s="591" t="n"/>
      <c r="AI33" s="591" t="n"/>
    </row>
    <row r="34" ht="21" customHeight="1" s="562">
      <c r="A34" s="781" t="n">
        <v>45688</v>
      </c>
      <c r="B34" s="782" t="inlineStr">
        <is>
          <t>Saturday</t>
        </is>
      </c>
      <c r="C34" s="715" t="n"/>
      <c r="D34" s="715" t="n"/>
      <c r="E34" s="715" t="n"/>
      <c r="F34" s="715" t="n"/>
      <c r="G34" s="805" t="inlineStr">
        <is>
          <t>Scroope</t>
        </is>
      </c>
      <c r="H34" s="837" t="n"/>
      <c r="I34" s="746" t="n"/>
      <c r="J34" s="840" t="n"/>
      <c r="K34" s="591" t="n"/>
      <c r="L34" s="746" t="n"/>
      <c r="M34" s="834" t="inlineStr">
        <is>
          <t>Scroope</t>
        </is>
      </c>
      <c r="N34" s="746" t="n"/>
      <c r="O34" s="696" t="inlineStr">
        <is>
          <t xml:space="preserve">Johnstons </t>
        </is>
      </c>
      <c r="P34" s="837" t="n"/>
      <c r="Q34" s="746" t="n"/>
      <c r="R34" s="837" t="n"/>
      <c r="S34" s="712" t="inlineStr">
        <is>
          <t xml:space="preserve">Apie </t>
        </is>
      </c>
      <c r="T34" s="688" t="inlineStr">
        <is>
          <t>Paoadopoulos</t>
        </is>
      </c>
      <c r="U34" s="894" t="inlineStr">
        <is>
          <t xml:space="preserve">Ras </t>
        </is>
      </c>
      <c r="V34" s="746" t="n"/>
      <c r="W34" s="838" t="inlineStr">
        <is>
          <t xml:space="preserve">Klientjie </t>
        </is>
      </c>
      <c r="X34" s="896" t="n"/>
      <c r="Y34" s="715" t="n"/>
      <c r="Z34" s="746" t="n"/>
      <c r="AA34" s="591" t="n"/>
      <c r="AB34" s="591" t="n"/>
      <c r="AC34" s="591" t="n"/>
      <c r="AD34" s="591" t="n"/>
      <c r="AE34" s="591" t="n"/>
      <c r="AF34" s="591" t="n"/>
      <c r="AG34" s="591" t="n"/>
      <c r="AH34" s="591" t="n"/>
      <c r="AI34" s="591" t="n"/>
    </row>
    <row r="35" ht="18.75" customHeight="1" s="562">
      <c r="A35" s="748" t="inlineStr">
        <is>
          <t xml:space="preserve">Days Worked </t>
        </is>
      </c>
      <c r="B35" s="749" t="n"/>
      <c r="C35" s="755" t="n">
        <v>16</v>
      </c>
      <c r="D35" s="755" t="n">
        <v>24</v>
      </c>
      <c r="E35" s="755" t="n">
        <v>20</v>
      </c>
      <c r="F35" s="755" t="n">
        <v>19</v>
      </c>
      <c r="G35" s="755" t="n">
        <v>5</v>
      </c>
      <c r="H35" s="755" t="n">
        <v>16</v>
      </c>
      <c r="I35" s="755" t="n">
        <v>21</v>
      </c>
      <c r="J35" s="755" t="n">
        <v>16</v>
      </c>
      <c r="K35" s="752" t="n"/>
      <c r="L35" s="755" t="n">
        <v>8</v>
      </c>
      <c r="M35" s="755" t="n">
        <v>11</v>
      </c>
      <c r="N35" s="842" t="n">
        <v>14</v>
      </c>
      <c r="O35" s="755" t="n">
        <v>12</v>
      </c>
      <c r="P35" s="843" t="n"/>
      <c r="Q35" s="755" t="n">
        <v>17</v>
      </c>
      <c r="R35" s="755" t="n"/>
      <c r="S35" s="755" t="n">
        <v>15</v>
      </c>
      <c r="T35" s="842" t="n">
        <v>14</v>
      </c>
      <c r="U35" s="755" t="n">
        <v>22</v>
      </c>
      <c r="V35" s="844" t="n">
        <v>16</v>
      </c>
      <c r="W35" s="752" t="n">
        <v>8</v>
      </c>
      <c r="X35" s="752" t="n">
        <v>5</v>
      </c>
      <c r="Y35" s="752" t="n">
        <v>9</v>
      </c>
      <c r="Z35" s="752" t="n">
        <v>5</v>
      </c>
    </row>
    <row r="36" ht="18.75" customHeight="1" s="562">
      <c r="A36" s="897" t="inlineStr">
        <is>
          <t xml:space="preserve">Money added </t>
        </is>
      </c>
      <c r="B36" s="637" t="n"/>
      <c r="C36" s="755" t="n"/>
      <c r="D36" s="755" t="n"/>
      <c r="E36" s="755" t="n"/>
      <c r="F36" s="755" t="n"/>
      <c r="G36" s="755" t="n">
        <v>800</v>
      </c>
      <c r="H36" s="755" t="n"/>
      <c r="I36" s="755" t="n"/>
      <c r="J36" s="755" t="n">
        <v>225</v>
      </c>
      <c r="K36" s="752" t="n"/>
      <c r="L36" s="755" t="n"/>
      <c r="M36" s="755" t="n">
        <v>1250</v>
      </c>
      <c r="N36" s="842" t="n"/>
      <c r="O36" s="755" t="n"/>
      <c r="P36" s="843" t="n"/>
      <c r="Q36" s="755" t="n"/>
      <c r="R36" s="755" t="n"/>
      <c r="S36" s="755" t="n"/>
      <c r="T36" s="842" t="n"/>
      <c r="U36" s="752" t="n"/>
      <c r="V36" s="844" t="n"/>
      <c r="W36" s="757" t="n"/>
      <c r="X36" s="898" t="n"/>
      <c r="Y36" s="898" t="n"/>
      <c r="Z36" s="898" t="n"/>
    </row>
    <row r="37" ht="18.75" customHeight="1" s="562">
      <c r="A37" s="757" t="inlineStr">
        <is>
          <t xml:space="preserve">Money Borrowed </t>
        </is>
      </c>
      <c r="B37" s="757" t="n"/>
      <c r="C37" s="757" t="n"/>
      <c r="D37" s="757" t="n"/>
      <c r="E37" s="757" t="n"/>
      <c r="F37" s="757" t="n">
        <v>190</v>
      </c>
      <c r="G37" s="757" t="n"/>
      <c r="H37" s="757" t="n"/>
      <c r="I37" s="757" t="n"/>
      <c r="J37" s="757" t="n"/>
      <c r="K37" s="757" t="n"/>
      <c r="L37" s="757" t="n"/>
      <c r="M37" s="757" t="n"/>
      <c r="N37" s="757" t="n"/>
      <c r="O37" s="757" t="n">
        <v>50</v>
      </c>
      <c r="P37" s="757" t="n"/>
      <c r="Q37" s="758" t="n">
        <v>700</v>
      </c>
      <c r="R37" s="757" t="n"/>
      <c r="S37" s="757" t="n"/>
      <c r="T37" s="847" t="n"/>
      <c r="U37" s="673" t="n">
        <v>809</v>
      </c>
      <c r="V37" s="848" t="n"/>
      <c r="W37" s="757" t="n"/>
      <c r="X37" s="898" t="n"/>
      <c r="Y37" s="898" t="n"/>
      <c r="Z37" s="898" t="n"/>
    </row>
    <row r="38" ht="24" customHeight="1" s="562">
      <c r="A38" s="899" t="inlineStr">
        <is>
          <t>Total Amount</t>
        </is>
      </c>
      <c r="B38" s="900">
        <f>SUM(C38:AJ38)</f>
        <v/>
      </c>
      <c r="C38" s="901">
        <f>C2*C35</f>
        <v/>
      </c>
      <c r="D38" s="901">
        <f>D2*D35</f>
        <v/>
      </c>
      <c r="E38" s="901">
        <f>E35*E2</f>
        <v/>
      </c>
      <c r="F38" s="901">
        <f>F35*F2-F37</f>
        <v/>
      </c>
      <c r="G38" s="901">
        <f>G35*G2+G36</f>
        <v/>
      </c>
      <c r="H38" s="901">
        <f>H2*H35</f>
        <v/>
      </c>
      <c r="I38" s="901">
        <f>I2*I35</f>
        <v/>
      </c>
      <c r="J38" s="901">
        <f>J2*J35+J36</f>
        <v/>
      </c>
      <c r="K38" s="901" t="n"/>
      <c r="L38" s="901">
        <f>L2*L35</f>
        <v/>
      </c>
      <c r="M38" s="902">
        <f>M2*M35+M36</f>
        <v/>
      </c>
      <c r="N38" s="902">
        <f>N2*N35</f>
        <v/>
      </c>
      <c r="O38" s="902">
        <f>O2*O35-O37</f>
        <v/>
      </c>
      <c r="P38" s="853">
        <f>P2*P35-P37</f>
        <v/>
      </c>
      <c r="Q38" s="902">
        <f>Q2*Q35-Q37</f>
        <v/>
      </c>
      <c r="R38" s="853">
        <f>R2*R35</f>
        <v/>
      </c>
      <c r="S38" s="902">
        <f>S2*S35</f>
        <v/>
      </c>
      <c r="T38" s="903">
        <f>T2*T35</f>
        <v/>
      </c>
      <c r="U38" s="902">
        <f>SUM(U2*U35-U37)</f>
        <v/>
      </c>
      <c r="V38" s="902">
        <f>V2*V35-V37</f>
        <v/>
      </c>
      <c r="W38" s="904">
        <f>W2*W35</f>
        <v/>
      </c>
      <c r="X38" s="904">
        <f>X2*X35</f>
        <v/>
      </c>
      <c r="Y38" s="904">
        <f>Y2*Y35</f>
        <v/>
      </c>
      <c r="Z38" s="904">
        <f>Z2*Z35</f>
        <v/>
      </c>
    </row>
    <row r="39" ht="18" customHeight="1" s="562">
      <c r="C39" s="591" t="n"/>
      <c r="D39" s="764" t="n"/>
      <c r="E39" s="764" t="n"/>
      <c r="F39" s="764" t="n"/>
      <c r="G39" s="764" t="n"/>
      <c r="H39" s="591" t="n"/>
      <c r="I39" s="591" t="n"/>
      <c r="J39" s="591" t="n"/>
      <c r="K39" s="591" t="n"/>
      <c r="L39" s="591" t="n"/>
      <c r="M39" s="591" t="n"/>
      <c r="N39" s="591" t="n"/>
      <c r="O39" s="591" t="n"/>
      <c r="P39" s="591" t="n"/>
      <c r="Q39" s="591" t="n"/>
      <c r="R39" s="591" t="n"/>
      <c r="S39" s="591" t="n"/>
      <c r="T39" s="591" t="n"/>
      <c r="U39" s="610" t="n"/>
    </row>
    <row r="40" ht="18" customHeight="1" s="562">
      <c r="C40" s="591" t="n"/>
      <c r="D40" s="764" t="n"/>
      <c r="E40" s="764" t="n"/>
      <c r="F40" s="620" t="n"/>
      <c r="G40" s="591" t="n"/>
      <c r="H40" s="591" t="n"/>
      <c r="I40" s="591" t="n"/>
      <c r="J40" s="591" t="n"/>
      <c r="K40" s="591" t="n"/>
      <c r="L40" s="591" t="n"/>
      <c r="M40" s="591" t="n"/>
      <c r="N40" s="591" t="n"/>
      <c r="O40" s="591" t="n"/>
      <c r="P40" s="591" t="n"/>
      <c r="Q40" s="591" t="n"/>
      <c r="R40" s="591" t="n"/>
      <c r="S40" s="591" t="n"/>
      <c r="T40" s="591" t="n"/>
      <c r="U40" s="610" t="n"/>
    </row>
    <row r="41" ht="19.5" customHeight="1" s="562">
      <c r="B41" s="905" t="inlineStr">
        <is>
          <t>Tuniti NPC</t>
        </is>
      </c>
      <c r="C41" s="906">
        <f>SUM(C38:L38)</f>
        <v/>
      </c>
      <c r="D41" s="764" t="n"/>
      <c r="E41" s="764" t="n"/>
      <c r="F41" s="764" t="n"/>
      <c r="G41" s="764" t="n"/>
      <c r="H41" s="591" t="n"/>
      <c r="I41" s="591" t="n"/>
      <c r="J41" s="591" t="n"/>
      <c r="K41" s="591" t="n"/>
      <c r="L41" s="591" t="n"/>
      <c r="M41" s="591" t="n"/>
      <c r="N41" s="591" t="n"/>
      <c r="O41" s="591" t="n"/>
      <c r="P41" s="591" t="n"/>
      <c r="Q41" s="591" t="n"/>
      <c r="R41" s="591" t="n"/>
      <c r="S41" s="591" t="n"/>
      <c r="T41" s="591" t="n"/>
      <c r="U41" s="610" t="n"/>
    </row>
    <row r="42" ht="19.5" customHeight="1" s="562">
      <c r="B42" s="907" t="inlineStr">
        <is>
          <t>TCH</t>
        </is>
      </c>
      <c r="C42" s="908">
        <f>SUM(M38:Z38)</f>
        <v/>
      </c>
      <c r="D42" s="764" t="n"/>
      <c r="E42" s="764" t="n"/>
      <c r="F42" s="764" t="n"/>
      <c r="G42" s="764" t="n"/>
      <c r="H42" s="591" t="n"/>
      <c r="I42" s="591" t="n"/>
      <c r="J42" s="591" t="n"/>
      <c r="K42" s="591" t="n"/>
      <c r="L42" s="591" t="n"/>
      <c r="M42" s="591" t="n"/>
      <c r="N42" s="591" t="n"/>
      <c r="O42" s="591" t="n"/>
      <c r="P42" s="591" t="n"/>
      <c r="Q42" s="591" t="n"/>
      <c r="R42" s="591" t="n"/>
      <c r="S42" s="591" t="n"/>
      <c r="T42" s="591" t="n"/>
      <c r="U42" s="610" t="n"/>
    </row>
    <row r="43" ht="18" customHeight="1" s="562">
      <c r="C43" s="591" t="n"/>
      <c r="D43" s="764" t="n"/>
      <c r="E43" s="764" t="n"/>
      <c r="F43" s="764" t="n"/>
      <c r="G43" s="764" t="n"/>
      <c r="H43" s="591" t="n"/>
      <c r="I43" s="591" t="n"/>
      <c r="J43" s="591" t="n"/>
      <c r="K43" s="591" t="n"/>
      <c r="L43" s="591" t="n"/>
      <c r="M43" s="591" t="n"/>
      <c r="N43" s="591" t="n"/>
      <c r="O43" s="591" t="n"/>
      <c r="P43" s="591" t="n"/>
      <c r="Q43" s="591" t="n"/>
      <c r="R43" s="591" t="n"/>
      <c r="S43" s="591" t="n"/>
      <c r="T43" s="591" t="n"/>
      <c r="U43" s="610" t="n"/>
    </row>
    <row r="44" ht="18" customHeight="1" s="562">
      <c r="C44" s="591" t="n"/>
      <c r="D44" s="764" t="n"/>
      <c r="E44" s="764" t="n"/>
      <c r="F44" s="764" t="n"/>
      <c r="G44" s="764" t="n"/>
      <c r="H44" s="591" t="n"/>
      <c r="I44" s="591" t="n"/>
      <c r="J44" s="591" t="n"/>
      <c r="K44" s="591" t="n"/>
      <c r="L44" s="591" t="n"/>
      <c r="M44" s="591" t="n"/>
      <c r="N44" s="591" t="n"/>
      <c r="O44" s="591" t="n"/>
      <c r="P44" s="591" t="n"/>
      <c r="Q44" s="591" t="n"/>
      <c r="R44" s="591" t="n"/>
      <c r="S44" s="591" t="n"/>
      <c r="T44" s="591" t="n"/>
      <c r="U44" s="610" t="n"/>
    </row>
  </sheetData>
  <mergeCells count="1">
    <mergeCell ref="A36:B3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X133"/>
  <sheetViews>
    <sheetView showFormulas="0" showGridLines="1" showRowColHeaders="1" showZeros="1" rightToLeft="0" tabSelected="0" showOutlineSymbols="1" defaultGridColor="1" view="normal" topLeftCell="A120" colorId="64" zoomScale="68" zoomScaleNormal="68" zoomScalePageLayoutView="100" workbookViewId="0">
      <selection pane="topLeft" activeCell="C107" activeCellId="0" sqref="C107"/>
    </sheetView>
  </sheetViews>
  <sheetFormatPr baseColWidth="8" defaultColWidth="10.4921875" defaultRowHeight="15.75" customHeight="0" zeroHeight="0" outlineLevelRow="0"/>
  <cols>
    <col width="24.16" customWidth="1" style="561" min="1" max="1"/>
    <col width="18.16" customWidth="1" style="561" min="2" max="2"/>
    <col width="15.16" customWidth="1" style="561" min="3" max="3"/>
    <col width="13.5" customWidth="1" style="561" min="5" max="5"/>
    <col width="22" customWidth="1" style="561" min="6" max="6"/>
    <col width="14.83" customWidth="1" style="561" min="7" max="7"/>
    <col width="13.5" customWidth="1" style="561" min="9" max="9"/>
    <col width="22.16" customWidth="1" style="561" min="10" max="10"/>
    <col width="14.83" customWidth="1" style="561" min="11" max="11"/>
    <col width="18.16" customWidth="1" style="561" min="14" max="14"/>
    <col width="14.83" customWidth="1" style="561" min="15" max="15"/>
    <col width="18.16" customWidth="1" style="561" min="18" max="18"/>
    <col width="14.83" customWidth="1" style="561" min="19" max="19"/>
    <col width="18.16" customWidth="1" style="561" min="22" max="22"/>
    <col width="14.83" customWidth="1" style="561" min="23" max="23"/>
  </cols>
  <sheetData>
    <row r="1" ht="18.75" customHeight="1" s="562">
      <c r="A1" s="612" t="inlineStr">
        <is>
          <t>Johnstons- monthly</t>
        </is>
      </c>
      <c r="B1" s="613" t="n"/>
      <c r="C1" s="614" t="n"/>
      <c r="D1" s="591" t="n"/>
      <c r="E1" s="612" t="inlineStr">
        <is>
          <t>Van Der Linde- monthly</t>
        </is>
      </c>
      <c r="F1" s="613" t="n"/>
      <c r="G1" s="614" t="n"/>
      <c r="H1" s="591" t="n"/>
      <c r="I1" s="615" t="inlineStr">
        <is>
          <t>Rene Lotz/ Wilhelm</t>
        </is>
      </c>
      <c r="J1" s="613" t="n"/>
      <c r="K1" s="614" t="n"/>
      <c r="L1" s="591" t="n"/>
      <c r="M1" s="615" t="inlineStr">
        <is>
          <t>John Bierman- monthly</t>
        </is>
      </c>
      <c r="N1" s="613" t="n"/>
      <c r="O1" s="614" t="n"/>
      <c r="P1" s="591" t="n"/>
      <c r="Q1" s="615" t="inlineStr">
        <is>
          <t xml:space="preserve">Wessels </t>
        </is>
      </c>
      <c r="R1" s="613" t="n"/>
      <c r="S1" s="614" t="n"/>
      <c r="U1" s="615" t="inlineStr">
        <is>
          <t>Scroope</t>
        </is>
      </c>
      <c r="V1" s="613" t="n"/>
      <c r="W1" s="614" t="n"/>
    </row>
    <row r="2" ht="18.75" customHeight="1" s="562">
      <c r="A2" s="616" t="inlineStr">
        <is>
          <t xml:space="preserve">Income </t>
        </is>
      </c>
      <c r="B2" s="617" t="n"/>
      <c r="C2" s="618" t="n"/>
      <c r="D2" s="591" t="n"/>
      <c r="E2" s="616" t="inlineStr">
        <is>
          <t xml:space="preserve">Income </t>
        </is>
      </c>
      <c r="F2" s="617" t="n"/>
      <c r="G2" s="618" t="n"/>
      <c r="H2" s="591" t="n"/>
      <c r="I2" s="619" t="inlineStr">
        <is>
          <t xml:space="preserve">Income </t>
        </is>
      </c>
      <c r="J2" s="617" t="n"/>
      <c r="K2" s="618" t="n"/>
      <c r="L2" s="591" t="n"/>
      <c r="M2" s="619" t="inlineStr">
        <is>
          <t xml:space="preserve">Income </t>
        </is>
      </c>
      <c r="N2" s="617" t="n"/>
      <c r="O2" s="618" t="n"/>
      <c r="P2" s="591" t="n"/>
      <c r="Q2" s="619" t="inlineStr">
        <is>
          <t xml:space="preserve">Income </t>
        </is>
      </c>
      <c r="R2" s="617" t="n"/>
      <c r="S2" s="618" t="n"/>
      <c r="U2" s="619" t="inlineStr">
        <is>
          <t xml:space="preserve">Income </t>
        </is>
      </c>
      <c r="V2" s="617" t="n"/>
      <c r="W2" s="618" t="n"/>
    </row>
    <row r="3" ht="18" customHeight="1" s="562">
      <c r="A3" s="620" t="inlineStr">
        <is>
          <t>Date:</t>
        </is>
      </c>
      <c r="B3" s="591" t="n"/>
      <c r="C3" s="621" t="inlineStr">
        <is>
          <t xml:space="preserve">Payment </t>
        </is>
      </c>
      <c r="D3" s="591" t="n"/>
      <c r="E3" s="620" t="inlineStr">
        <is>
          <t>Date:</t>
        </is>
      </c>
      <c r="F3" s="591" t="n"/>
      <c r="G3" s="621" t="inlineStr">
        <is>
          <t xml:space="preserve">Payment </t>
        </is>
      </c>
      <c r="H3" s="591" t="n"/>
      <c r="I3" s="622" t="inlineStr">
        <is>
          <t>Date:</t>
        </is>
      </c>
      <c r="J3" s="623" t="n"/>
      <c r="K3" s="624" t="inlineStr">
        <is>
          <t xml:space="preserve">Payment </t>
        </is>
      </c>
      <c r="L3" s="591" t="n"/>
      <c r="M3" s="622" t="inlineStr">
        <is>
          <t>Date:</t>
        </is>
      </c>
      <c r="N3" s="623" t="n"/>
      <c r="O3" s="624" t="inlineStr">
        <is>
          <t xml:space="preserve">Payment </t>
        </is>
      </c>
      <c r="P3" s="591" t="n"/>
      <c r="Q3" s="622" t="inlineStr">
        <is>
          <t>Date:</t>
        </is>
      </c>
      <c r="R3" s="623" t="n"/>
      <c r="S3" s="624" t="inlineStr">
        <is>
          <t xml:space="preserve">Payment </t>
        </is>
      </c>
      <c r="U3" s="622" t="inlineStr">
        <is>
          <t>Date:</t>
        </is>
      </c>
      <c r="V3" s="623" t="n"/>
      <c r="W3" s="624" t="inlineStr">
        <is>
          <t xml:space="preserve">Payment </t>
        </is>
      </c>
    </row>
    <row r="4" ht="18" customHeight="1" s="562">
      <c r="A4" s="625" t="n">
        <v>46054</v>
      </c>
      <c r="B4" s="766" t="inlineStr">
        <is>
          <t>Invoiced NPC</t>
        </is>
      </c>
      <c r="C4" s="601" t="n">
        <v>21000</v>
      </c>
      <c r="D4" s="591" t="n"/>
      <c r="E4" s="625" t="n">
        <v>46054</v>
      </c>
      <c r="F4" s="766" t="inlineStr">
        <is>
          <t>Invoiced NPC</t>
        </is>
      </c>
      <c r="G4" s="601" t="n">
        <v>22200</v>
      </c>
      <c r="H4" s="591" t="n"/>
      <c r="I4" s="625" t="n"/>
      <c r="J4" s="766" t="n"/>
      <c r="K4" s="627" t="n"/>
      <c r="L4" s="591" t="n"/>
      <c r="M4" s="625" t="n">
        <v>46054</v>
      </c>
      <c r="N4" s="766" t="inlineStr">
        <is>
          <t>Invoiced TCH</t>
        </is>
      </c>
      <c r="O4" s="627" t="n">
        <v>16000</v>
      </c>
      <c r="P4" s="591" t="n"/>
      <c r="Q4" s="625" t="n">
        <v>46054</v>
      </c>
      <c r="R4" s="766" t="inlineStr">
        <is>
          <t xml:space="preserve">invoiced </t>
        </is>
      </c>
      <c r="S4" s="627" t="n">
        <v>3800</v>
      </c>
      <c r="U4" s="628" t="n">
        <v>46072</v>
      </c>
      <c r="V4" s="766" t="inlineStr">
        <is>
          <t xml:space="preserve">invoiced </t>
        </is>
      </c>
      <c r="W4" s="627" t="n">
        <v>3350</v>
      </c>
    </row>
    <row r="5" ht="18" customHeight="1" s="562">
      <c r="A5" s="625" t="n"/>
      <c r="B5" s="609" t="n"/>
      <c r="C5" s="601" t="n"/>
      <c r="D5" s="591" t="n"/>
      <c r="E5" s="625" t="n"/>
      <c r="F5" s="609" t="n"/>
      <c r="G5" s="601" t="n"/>
      <c r="H5" s="591" t="n"/>
      <c r="I5" s="625" t="n"/>
      <c r="J5" s="766" t="n"/>
      <c r="K5" s="627" t="n"/>
      <c r="L5" s="591" t="n"/>
      <c r="M5" s="625" t="n"/>
      <c r="N5" s="626" t="n"/>
      <c r="O5" s="627" t="n"/>
      <c r="P5" s="591" t="n"/>
      <c r="Q5" s="625" t="n"/>
      <c r="R5" s="766" t="n"/>
      <c r="S5" s="627" t="n"/>
      <c r="U5" s="628" t="n"/>
      <c r="V5" s="766" t="n"/>
      <c r="W5" s="627" t="n"/>
    </row>
    <row r="6" ht="18" customHeight="1" s="562">
      <c r="A6" s="625" t="n"/>
      <c r="B6" s="609" t="n"/>
      <c r="C6" s="601" t="n"/>
      <c r="D6" s="591" t="n"/>
      <c r="E6" s="625" t="n"/>
      <c r="F6" s="609" t="n"/>
      <c r="G6" s="601" t="n"/>
      <c r="H6" s="591" t="n"/>
      <c r="I6" s="625" t="n"/>
      <c r="J6" s="626" t="n"/>
      <c r="K6" s="627" t="n"/>
      <c r="L6" s="591" t="n"/>
      <c r="M6" s="625" t="n"/>
      <c r="N6" s="626" t="n"/>
      <c r="O6" s="627" t="n"/>
      <c r="P6" s="591" t="n"/>
      <c r="Q6" s="625" t="n"/>
      <c r="R6" s="626" t="n"/>
      <c r="S6" s="627" t="n"/>
      <c r="U6" s="628" t="n"/>
      <c r="V6" s="626" t="n"/>
      <c r="W6" s="627" t="n"/>
    </row>
    <row r="7" ht="18.75" customHeight="1" s="562">
      <c r="A7" s="620" t="n"/>
      <c r="B7" s="591" t="n"/>
      <c r="C7" s="601" t="n"/>
      <c r="D7" s="591" t="n"/>
      <c r="E7" s="620" t="n"/>
      <c r="F7" s="591" t="n"/>
      <c r="G7" s="601" t="n"/>
      <c r="H7" s="591" t="n"/>
      <c r="I7" s="625" t="n"/>
      <c r="J7" s="623" t="n"/>
      <c r="K7" s="627" t="n"/>
      <c r="L7" s="591" t="n"/>
      <c r="M7" s="622" t="n"/>
      <c r="N7" s="623" t="n"/>
      <c r="O7" s="627" t="n"/>
      <c r="P7" s="591" t="n"/>
      <c r="Q7" s="622" t="n"/>
      <c r="R7" s="623" t="n"/>
      <c r="S7" s="639" t="n"/>
      <c r="U7" s="628" t="n"/>
      <c r="V7" s="626" t="n"/>
      <c r="W7" s="624" t="n"/>
    </row>
    <row r="8" ht="18.75" customHeight="1" s="562">
      <c r="A8" s="620" t="n"/>
      <c r="B8" s="591" t="n"/>
      <c r="C8" s="629">
        <f>SUM(C4:C7)</f>
        <v/>
      </c>
      <c r="D8" s="591" t="n"/>
      <c r="E8" s="620" t="n"/>
      <c r="F8" s="591" t="n"/>
      <c r="G8" s="629">
        <f>SUM(G4:G7)</f>
        <v/>
      </c>
      <c r="H8" s="591" t="n"/>
      <c r="I8" s="628" t="n"/>
      <c r="J8" s="623" t="n"/>
      <c r="K8" s="630">
        <f>SUM(K4:K7)</f>
        <v/>
      </c>
      <c r="L8" s="591" t="n"/>
      <c r="M8" s="622" t="n"/>
      <c r="N8" s="623" t="n"/>
      <c r="O8" s="630">
        <f>SUM(O4:O7)</f>
        <v/>
      </c>
      <c r="P8" s="591" t="n"/>
      <c r="Q8" s="622" t="n"/>
      <c r="R8" s="623" t="n"/>
      <c r="S8" s="631" t="n"/>
      <c r="U8" s="622" t="n"/>
      <c r="V8" s="623" t="n"/>
      <c r="W8" s="631">
        <f>SUM(W4:W7)</f>
        <v/>
      </c>
    </row>
    <row r="9" ht="18.75" customHeight="1" s="562">
      <c r="A9" s="632" t="inlineStr">
        <is>
          <t xml:space="preserve">Expenses </t>
        </is>
      </c>
      <c r="B9" s="617" t="n"/>
      <c r="C9" s="618" t="n"/>
      <c r="D9" s="591" t="n"/>
      <c r="E9" s="632" t="inlineStr">
        <is>
          <t xml:space="preserve">Expenses </t>
        </is>
      </c>
      <c r="F9" s="617" t="n"/>
      <c r="G9" s="618" t="n"/>
      <c r="H9" s="591" t="n"/>
      <c r="I9" s="633" t="inlineStr">
        <is>
          <t xml:space="preserve">Expenses </t>
        </is>
      </c>
      <c r="J9" s="617" t="n"/>
      <c r="K9" s="618" t="n"/>
      <c r="L9" s="591" t="n"/>
      <c r="M9" s="633" t="inlineStr">
        <is>
          <t xml:space="preserve">Expenses </t>
        </is>
      </c>
      <c r="N9" s="617" t="n"/>
      <c r="O9" s="618" t="n"/>
      <c r="P9" s="591" t="n"/>
      <c r="Q9" s="633" t="inlineStr">
        <is>
          <t xml:space="preserve">Expenses </t>
        </is>
      </c>
      <c r="R9" s="617" t="n"/>
      <c r="S9" s="618" t="n"/>
      <c r="U9" s="643" t="inlineStr">
        <is>
          <t xml:space="preserve">Expenses </t>
        </is>
      </c>
      <c r="V9" s="617" t="n"/>
      <c r="W9" s="618" t="n"/>
    </row>
    <row r="10" ht="18" customHeight="1" s="562">
      <c r="A10" s="620" t="inlineStr">
        <is>
          <t>Date:</t>
        </is>
      </c>
      <c r="B10" s="591" t="inlineStr">
        <is>
          <t xml:space="preserve">Expense Name </t>
        </is>
      </c>
      <c r="C10" s="621" t="inlineStr">
        <is>
          <t xml:space="preserve">Amount </t>
        </is>
      </c>
      <c r="D10" s="591" t="n"/>
      <c r="E10" s="620" t="inlineStr">
        <is>
          <t>Date:</t>
        </is>
      </c>
      <c r="F10" s="591" t="inlineStr">
        <is>
          <t xml:space="preserve">Expense Name </t>
        </is>
      </c>
      <c r="G10" s="621" t="inlineStr">
        <is>
          <t xml:space="preserve">Amount </t>
        </is>
      </c>
      <c r="H10" s="591" t="n"/>
      <c r="I10" s="622" t="inlineStr">
        <is>
          <t>Date:</t>
        </is>
      </c>
      <c r="J10" s="623" t="inlineStr">
        <is>
          <t xml:space="preserve">Expense Name </t>
        </is>
      </c>
      <c r="K10" s="624" t="inlineStr">
        <is>
          <t xml:space="preserve">Amount </t>
        </is>
      </c>
      <c r="L10" s="591" t="n"/>
      <c r="M10" s="622" t="inlineStr">
        <is>
          <t>Date:</t>
        </is>
      </c>
      <c r="N10" s="623" t="inlineStr">
        <is>
          <t xml:space="preserve">Expense Name </t>
        </is>
      </c>
      <c r="O10" s="624" t="inlineStr">
        <is>
          <t xml:space="preserve">Amount </t>
        </is>
      </c>
      <c r="P10" s="591" t="n"/>
      <c r="Q10" s="622" t="inlineStr">
        <is>
          <t>Date:</t>
        </is>
      </c>
      <c r="R10" s="623" t="inlineStr">
        <is>
          <t xml:space="preserve">Expense Name </t>
        </is>
      </c>
      <c r="S10" s="624" t="inlineStr">
        <is>
          <t xml:space="preserve">Amount </t>
        </is>
      </c>
      <c r="U10" s="622" t="inlineStr">
        <is>
          <t>Date:</t>
        </is>
      </c>
      <c r="V10" s="623" t="inlineStr">
        <is>
          <t xml:space="preserve">Expense Name </t>
        </is>
      </c>
      <c r="W10" s="624" t="inlineStr">
        <is>
          <t xml:space="preserve">Amount </t>
        </is>
      </c>
    </row>
    <row r="11" ht="18" customHeight="1" s="562">
      <c r="A11" s="625" t="n">
        <v>46054</v>
      </c>
      <c r="B11" s="591" t="inlineStr">
        <is>
          <t xml:space="preserve">Linda </t>
        </is>
      </c>
      <c r="C11" s="621" t="n"/>
      <c r="D11" s="591" t="n"/>
      <c r="E11" s="625" t="n">
        <v>46054</v>
      </c>
      <c r="F11" s="591" t="inlineStr">
        <is>
          <t xml:space="preserve">Emily </t>
        </is>
      </c>
      <c r="G11" s="621" t="n"/>
      <c r="H11" s="591" t="n"/>
      <c r="I11" s="625" t="n"/>
      <c r="J11" s="591" t="n"/>
      <c r="K11" s="621" t="n"/>
      <c r="L11" s="591" t="n"/>
      <c r="M11" s="625" t="n">
        <v>46054</v>
      </c>
      <c r="N11" s="591" t="inlineStr">
        <is>
          <t>Susan</t>
        </is>
      </c>
      <c r="O11" s="621" t="n"/>
      <c r="P11" s="591" t="n"/>
      <c r="Q11" s="625" t="n"/>
      <c r="R11" s="591" t="inlineStr">
        <is>
          <t>Ruth</t>
        </is>
      </c>
      <c r="S11" s="621" t="n"/>
      <c r="U11" s="628" t="n"/>
      <c r="V11" s="623" t="inlineStr">
        <is>
          <t>Merriam</t>
        </is>
      </c>
      <c r="W11" s="624" t="n"/>
    </row>
    <row r="12" ht="18" customHeight="1" s="562">
      <c r="A12" s="625" t="n">
        <v>46054</v>
      </c>
      <c r="B12" s="591" t="inlineStr">
        <is>
          <t>Ada</t>
        </is>
      </c>
      <c r="C12" s="621" t="n"/>
      <c r="D12" s="591" t="n"/>
      <c r="E12" s="625" t="n">
        <v>46054</v>
      </c>
      <c r="F12" s="591" t="inlineStr">
        <is>
          <t xml:space="preserve">Emma </t>
        </is>
      </c>
      <c r="G12" s="621" t="n"/>
      <c r="H12" s="591" t="n"/>
      <c r="I12" s="625" t="n"/>
      <c r="J12" s="591" t="n"/>
      <c r="K12" s="621" t="n"/>
      <c r="L12" s="591" t="n"/>
      <c r="M12" s="620" t="n"/>
      <c r="N12" s="591" t="n"/>
      <c r="O12" s="621" t="n"/>
      <c r="P12" s="591" t="n"/>
      <c r="Q12" s="625" t="n"/>
      <c r="R12" s="591" t="n"/>
      <c r="S12" s="621" t="n"/>
      <c r="U12" s="628" t="n"/>
      <c r="V12" s="623" t="n"/>
      <c r="W12" s="624" t="n"/>
    </row>
    <row r="13" ht="18" customHeight="1" s="562">
      <c r="A13" s="620" t="n"/>
      <c r="B13" s="591" t="inlineStr">
        <is>
          <t xml:space="preserve">Sylive </t>
        </is>
      </c>
      <c r="C13" s="621" t="n"/>
      <c r="D13" s="591" t="n"/>
      <c r="E13" s="625" t="n">
        <v>46054</v>
      </c>
      <c r="F13" s="591" t="inlineStr">
        <is>
          <t xml:space="preserve">Uber </t>
        </is>
      </c>
      <c r="G13" s="621" t="n"/>
      <c r="H13" s="591" t="n"/>
      <c r="I13" s="620" t="n"/>
      <c r="J13" s="591" t="n"/>
      <c r="K13" s="621" t="n"/>
      <c r="L13" s="591" t="n"/>
      <c r="M13" s="620" t="n"/>
      <c r="N13" s="591" t="n"/>
      <c r="O13" s="621" t="n"/>
      <c r="P13" s="591" t="n"/>
      <c r="Q13" s="620" t="n"/>
      <c r="R13" s="591" t="n"/>
      <c r="S13" s="621" t="n"/>
      <c r="U13" s="628" t="n"/>
      <c r="V13" s="623" t="n"/>
      <c r="W13" s="624" t="n"/>
    </row>
    <row r="14" ht="18" customHeight="1" s="562">
      <c r="A14" s="620" t="n"/>
      <c r="B14" s="591" t="n"/>
      <c r="C14" s="621" t="n"/>
      <c r="D14" s="591" t="n"/>
      <c r="E14" s="625" t="n"/>
      <c r="F14" s="591" t="n"/>
      <c r="G14" s="621" t="n"/>
      <c r="H14" s="591" t="n"/>
      <c r="I14" s="620" t="n"/>
      <c r="J14" s="591" t="n"/>
      <c r="K14" s="621" t="n"/>
      <c r="L14" s="591" t="n"/>
      <c r="M14" s="620" t="n"/>
      <c r="N14" s="591" t="n"/>
      <c r="O14" s="621" t="n"/>
      <c r="P14" s="591" t="n"/>
      <c r="Q14" s="620" t="n"/>
      <c r="R14" s="591" t="n"/>
      <c r="S14" s="621" t="n"/>
      <c r="U14" s="622" t="n"/>
      <c r="V14" s="623" t="n"/>
      <c r="W14" s="624" t="n"/>
    </row>
    <row r="15" ht="18" customHeight="1" s="562">
      <c r="A15" s="620" t="n"/>
      <c r="B15" s="591" t="n"/>
      <c r="C15" s="621" t="n"/>
      <c r="D15" s="591" t="n"/>
      <c r="E15" s="620" t="n"/>
      <c r="F15" s="591" t="n"/>
      <c r="G15" s="621" t="n"/>
      <c r="H15" s="591" t="n"/>
      <c r="I15" s="620" t="n"/>
      <c r="J15" s="591" t="n"/>
      <c r="K15" s="621" t="n"/>
      <c r="L15" s="591" t="n"/>
      <c r="M15" s="620" t="n"/>
      <c r="N15" s="591" t="n"/>
      <c r="O15" s="621" t="n"/>
      <c r="P15" s="591" t="n"/>
      <c r="Q15" s="620" t="n"/>
      <c r="R15" s="591" t="n"/>
      <c r="S15" s="621" t="n"/>
      <c r="U15" s="622" t="n"/>
      <c r="V15" s="623" t="n"/>
      <c r="W15" s="624" t="n"/>
    </row>
    <row r="16" ht="18" customHeight="1" s="562">
      <c r="A16" s="620" t="n"/>
      <c r="B16" s="591" t="n"/>
      <c r="C16" s="621" t="n"/>
      <c r="D16" s="591" t="n"/>
      <c r="E16" s="620" t="n"/>
      <c r="F16" s="591" t="n"/>
      <c r="G16" s="621" t="n"/>
      <c r="H16" s="591" t="n"/>
      <c r="I16" s="620" t="n"/>
      <c r="J16" s="591" t="n"/>
      <c r="K16" s="621" t="n"/>
      <c r="L16" s="591" t="n"/>
      <c r="M16" s="620" t="n"/>
      <c r="N16" s="591" t="n"/>
      <c r="O16" s="621" t="n"/>
      <c r="P16" s="591" t="n"/>
      <c r="Q16" s="620" t="n"/>
      <c r="R16" s="591" t="n"/>
      <c r="S16" s="621" t="n"/>
      <c r="U16" s="622" t="n"/>
      <c r="V16" s="623" t="n"/>
      <c r="W16" s="624" t="n"/>
    </row>
    <row r="17" ht="18" customHeight="1" s="562">
      <c r="A17" s="620" t="n"/>
      <c r="B17" s="591" t="n"/>
      <c r="C17" s="621" t="n"/>
      <c r="D17" s="591" t="n"/>
      <c r="E17" s="620" t="n"/>
      <c r="F17" s="591" t="n"/>
      <c r="G17" s="621" t="n"/>
      <c r="H17" s="591" t="n"/>
      <c r="I17" s="620" t="n"/>
      <c r="J17" s="591" t="n"/>
      <c r="K17" s="621" t="n"/>
      <c r="L17" s="591" t="n"/>
      <c r="M17" s="620" t="n"/>
      <c r="N17" s="591" t="n"/>
      <c r="O17" s="621" t="n"/>
      <c r="P17" s="591" t="n"/>
      <c r="Q17" s="620" t="n"/>
      <c r="R17" s="591" t="n"/>
      <c r="S17" s="621" t="n"/>
      <c r="U17" s="622" t="n"/>
      <c r="V17" s="623" t="n"/>
      <c r="W17" s="624" t="n"/>
    </row>
    <row r="18" ht="18" customHeight="1" s="562">
      <c r="A18" s="620" t="n"/>
      <c r="B18" s="591" t="n"/>
      <c r="C18" s="621" t="n"/>
      <c r="D18" s="591" t="n"/>
      <c r="E18" s="620" t="n"/>
      <c r="F18" s="591" t="n"/>
      <c r="G18" s="621" t="n"/>
      <c r="H18" s="591" t="n"/>
      <c r="I18" s="620" t="n"/>
      <c r="J18" s="591" t="n"/>
      <c r="K18" s="621" t="n"/>
      <c r="L18" s="591" t="n"/>
      <c r="M18" s="620" t="n"/>
      <c r="N18" s="591" t="n"/>
      <c r="O18" s="621" t="n"/>
      <c r="P18" s="591" t="n"/>
      <c r="Q18" s="620" t="n"/>
      <c r="R18" s="591" t="n"/>
      <c r="S18" s="621" t="n"/>
      <c r="U18" s="622" t="n"/>
      <c r="V18" s="623" t="n"/>
      <c r="W18" s="624" t="n"/>
    </row>
    <row r="19" ht="18" customHeight="1" s="562">
      <c r="A19" s="620" t="n"/>
      <c r="B19" s="591" t="n"/>
      <c r="C19" s="621" t="n"/>
      <c r="D19" s="591" t="n"/>
      <c r="E19" s="620" t="n"/>
      <c r="F19" s="591" t="n"/>
      <c r="G19" s="621" t="n"/>
      <c r="H19" s="591" t="n"/>
      <c r="I19" s="620" t="n"/>
      <c r="J19" s="591" t="n"/>
      <c r="K19" s="621" t="n"/>
      <c r="L19" s="591" t="n"/>
      <c r="M19" s="620" t="n"/>
      <c r="N19" s="591" t="n"/>
      <c r="O19" s="621" t="n"/>
      <c r="P19" s="591" t="n"/>
      <c r="Q19" s="620" t="n"/>
      <c r="R19" s="591" t="n"/>
      <c r="S19" s="621" t="n"/>
      <c r="U19" s="622" t="n"/>
      <c r="V19" s="623" t="n"/>
      <c r="W19" s="624" t="n"/>
    </row>
    <row r="20" ht="18" customHeight="1" s="562">
      <c r="A20" s="620" t="n"/>
      <c r="B20" s="591" t="n"/>
      <c r="C20" s="621" t="n"/>
      <c r="D20" s="591" t="n"/>
      <c r="E20" s="620" t="n"/>
      <c r="F20" s="591" t="n"/>
      <c r="G20" s="621" t="n"/>
      <c r="H20" s="591" t="n"/>
      <c r="I20" s="620" t="n"/>
      <c r="J20" s="591" t="n"/>
      <c r="K20" s="621" t="n"/>
      <c r="L20" s="591" t="n"/>
      <c r="M20" s="620" t="n"/>
      <c r="N20" s="591" t="n"/>
      <c r="O20" s="621" t="n"/>
      <c r="P20" s="591" t="n"/>
      <c r="Q20" s="620" t="n"/>
      <c r="R20" s="591" t="n"/>
      <c r="S20" s="621" t="n"/>
      <c r="U20" s="622" t="n"/>
      <c r="V20" s="623" t="n"/>
      <c r="W20" s="624" t="n"/>
    </row>
    <row r="21" ht="18" customHeight="1" s="562">
      <c r="A21" s="620" t="n"/>
      <c r="B21" s="591" t="n"/>
      <c r="C21" s="621" t="n"/>
      <c r="D21" s="591" t="n"/>
      <c r="E21" s="620" t="n"/>
      <c r="F21" s="591" t="n"/>
      <c r="G21" s="621" t="n"/>
      <c r="H21" s="591" t="n"/>
      <c r="I21" s="620" t="n"/>
      <c r="J21" s="591" t="n"/>
      <c r="K21" s="621" t="n"/>
      <c r="L21" s="591" t="n"/>
      <c r="M21" s="620" t="n"/>
      <c r="N21" s="591" t="n"/>
      <c r="O21" s="621" t="n"/>
      <c r="P21" s="591" t="n"/>
      <c r="Q21" s="620" t="n"/>
      <c r="R21" s="591" t="n"/>
      <c r="S21" s="621" t="n"/>
      <c r="U21" s="622" t="n"/>
      <c r="V21" s="623" t="n"/>
      <c r="W21" s="624" t="n"/>
    </row>
    <row r="22" ht="18.75" customHeight="1" s="562">
      <c r="A22" s="620" t="n"/>
      <c r="B22" s="591" t="n"/>
      <c r="C22" s="621" t="n"/>
      <c r="D22" s="591" t="n"/>
      <c r="E22" s="620" t="n"/>
      <c r="F22" s="591" t="n"/>
      <c r="G22" s="621" t="n"/>
      <c r="H22" s="591" t="n"/>
      <c r="I22" s="620" t="n"/>
      <c r="J22" s="591" t="n"/>
      <c r="K22" s="621" t="n"/>
      <c r="L22" s="591" t="n"/>
      <c r="M22" s="620" t="n"/>
      <c r="N22" s="591" t="n"/>
      <c r="O22" s="621" t="n"/>
      <c r="P22" s="591" t="n"/>
      <c r="Q22" s="620" t="n"/>
      <c r="R22" s="591" t="n"/>
      <c r="S22" s="621" t="n"/>
      <c r="U22" s="622" t="n"/>
      <c r="V22" s="623" t="n"/>
      <c r="W22" s="624" t="n"/>
    </row>
    <row r="23" ht="18.75" customHeight="1" s="562">
      <c r="A23" s="634" t="inlineStr">
        <is>
          <t xml:space="preserve">Total Expense </t>
        </is>
      </c>
      <c r="B23" s="617" t="n"/>
      <c r="C23" s="635">
        <f>SUM(C11:C22)</f>
        <v/>
      </c>
      <c r="D23" s="591" t="n"/>
      <c r="E23" s="634" t="inlineStr">
        <is>
          <t xml:space="preserve">Total Expense </t>
        </is>
      </c>
      <c r="F23" s="617" t="n"/>
      <c r="G23" s="635">
        <f>SUM(G11:G22)</f>
        <v/>
      </c>
      <c r="H23" s="591" t="n"/>
      <c r="I23" s="634" t="inlineStr">
        <is>
          <t xml:space="preserve">Total Expense </t>
        </is>
      </c>
      <c r="J23" s="617" t="n"/>
      <c r="K23" s="635">
        <f>SUM(K11:K22)</f>
        <v/>
      </c>
      <c r="L23" s="591" t="n"/>
      <c r="M23" s="634" t="inlineStr">
        <is>
          <t xml:space="preserve">Total Expense </t>
        </is>
      </c>
      <c r="N23" s="617" t="n"/>
      <c r="O23" s="635">
        <f>SUM(O11:O22)</f>
        <v/>
      </c>
      <c r="P23" s="591" t="n"/>
      <c r="Q23" s="634" t="inlineStr">
        <is>
          <t xml:space="preserve">Total Expense </t>
        </is>
      </c>
      <c r="R23" s="617" t="n"/>
      <c r="S23" s="635">
        <f>SUM(S11:S22)</f>
        <v/>
      </c>
      <c r="U23" s="644" t="inlineStr">
        <is>
          <t xml:space="preserve">Total Expense </t>
        </is>
      </c>
      <c r="V23" s="637" t="n"/>
      <c r="W23" s="645">
        <f>SUM(W11:W14)</f>
        <v/>
      </c>
    </row>
    <row r="24" ht="18.75" customHeight="1" s="562">
      <c r="A24" s="636" t="inlineStr">
        <is>
          <t xml:space="preserve">Income - Expense </t>
        </is>
      </c>
      <c r="B24" s="637" t="n"/>
      <c r="C24" s="638">
        <f>MIN(C4-C23)</f>
        <v/>
      </c>
      <c r="D24" s="591" t="n"/>
      <c r="E24" s="636" t="inlineStr">
        <is>
          <t xml:space="preserve">Income - Expense </t>
        </is>
      </c>
      <c r="F24" s="637" t="n"/>
      <c r="G24" s="638">
        <f>MIN(G4-G23)</f>
        <v/>
      </c>
      <c r="H24" s="591" t="n"/>
      <c r="I24" s="636" t="inlineStr">
        <is>
          <t xml:space="preserve">Income - Expense </t>
        </is>
      </c>
      <c r="J24" s="637" t="n"/>
      <c r="K24" s="638">
        <f>MIN(K4-K23)</f>
        <v/>
      </c>
      <c r="L24" s="591" t="n"/>
      <c r="M24" s="636" t="inlineStr">
        <is>
          <t xml:space="preserve">Income - Expense </t>
        </is>
      </c>
      <c r="N24" s="637" t="n"/>
      <c r="O24" s="638">
        <f>MIN(O4-O23)</f>
        <v/>
      </c>
      <c r="P24" s="591" t="n"/>
      <c r="Q24" s="636" t="inlineStr">
        <is>
          <t xml:space="preserve">Income - Expense </t>
        </is>
      </c>
      <c r="R24" s="637" t="n"/>
      <c r="S24" s="638">
        <f>MIN(S4-S23)</f>
        <v/>
      </c>
      <c r="U24" s="646" t="inlineStr">
        <is>
          <t xml:space="preserve">Income - Expense </t>
        </is>
      </c>
      <c r="V24" s="637" t="n"/>
      <c r="W24" s="647">
        <f>MIN(W8-W23)</f>
        <v/>
      </c>
    </row>
    <row r="26" ht="18.75" customHeight="1" s="562">
      <c r="A26" s="615" t="inlineStr">
        <is>
          <t>Julian Sam</t>
        </is>
      </c>
      <c r="B26" s="613" t="n"/>
      <c r="C26" s="614" t="n"/>
      <c r="E26" s="612" t="inlineStr">
        <is>
          <t>Trevor Botes- monthly</t>
        </is>
      </c>
      <c r="F26" s="613" t="n"/>
      <c r="G26" s="614" t="n"/>
      <c r="I26" s="615" t="inlineStr">
        <is>
          <t xml:space="preserve">Berthe Botha </t>
        </is>
      </c>
      <c r="J26" s="613" t="n"/>
      <c r="K26" s="614" t="n"/>
      <c r="M26" s="615" t="inlineStr">
        <is>
          <t>Dirk Le Roux- monthly</t>
        </is>
      </c>
      <c r="N26" s="613" t="n"/>
      <c r="O26" s="614" t="n"/>
      <c r="Q26" s="909" t="inlineStr">
        <is>
          <t>Angela/ Dimitri Paoadopoulos- weekly</t>
        </is>
      </c>
      <c r="R26" s="613" t="n"/>
      <c r="S26" s="614" t="n"/>
      <c r="U26" s="615" t="inlineStr">
        <is>
          <t>Du Plessis</t>
        </is>
      </c>
      <c r="V26" s="613" t="n"/>
      <c r="W26" s="614" t="n"/>
    </row>
    <row r="27" ht="18.75" customHeight="1" s="562">
      <c r="A27" s="619" t="inlineStr">
        <is>
          <t xml:space="preserve">Income </t>
        </is>
      </c>
      <c r="B27" s="617" t="n"/>
      <c r="C27" s="618" t="n"/>
      <c r="E27" s="616" t="inlineStr">
        <is>
          <t xml:space="preserve">Income </t>
        </is>
      </c>
      <c r="F27" s="617" t="n"/>
      <c r="G27" s="618" t="n"/>
      <c r="I27" s="619" t="inlineStr">
        <is>
          <t xml:space="preserve">Income </t>
        </is>
      </c>
      <c r="J27" s="617" t="n"/>
      <c r="K27" s="618" t="n"/>
      <c r="M27" s="619" t="inlineStr">
        <is>
          <t xml:space="preserve">Income </t>
        </is>
      </c>
      <c r="N27" s="617" t="n"/>
      <c r="O27" s="618" t="n"/>
      <c r="Q27" s="619" t="inlineStr">
        <is>
          <t xml:space="preserve">Income </t>
        </is>
      </c>
      <c r="R27" s="617" t="n"/>
      <c r="S27" s="618" t="n"/>
      <c r="U27" s="619" t="inlineStr">
        <is>
          <t xml:space="preserve">Income </t>
        </is>
      </c>
      <c r="V27" s="617" t="n"/>
      <c r="W27" s="618" t="n"/>
    </row>
    <row r="28" ht="18" customHeight="1" s="562">
      <c r="A28" s="622" t="inlineStr">
        <is>
          <t>Date:</t>
        </is>
      </c>
      <c r="B28" s="623" t="n"/>
      <c r="C28" s="624" t="inlineStr">
        <is>
          <t xml:space="preserve">Payment </t>
        </is>
      </c>
      <c r="E28" s="620" t="inlineStr">
        <is>
          <t>Date:</t>
        </is>
      </c>
      <c r="F28" s="591" t="n"/>
      <c r="G28" s="621" t="inlineStr">
        <is>
          <t xml:space="preserve">Payment </t>
        </is>
      </c>
      <c r="I28" s="622" t="inlineStr">
        <is>
          <t>Date:</t>
        </is>
      </c>
      <c r="J28" s="623" t="n"/>
      <c r="K28" s="624" t="inlineStr">
        <is>
          <t xml:space="preserve">Payment </t>
        </is>
      </c>
      <c r="M28" s="622" t="inlineStr">
        <is>
          <t>Date:</t>
        </is>
      </c>
      <c r="N28" s="623" t="n"/>
      <c r="O28" s="624" t="inlineStr">
        <is>
          <t xml:space="preserve">Payment </t>
        </is>
      </c>
      <c r="Q28" s="622" t="inlineStr">
        <is>
          <t>Date:</t>
        </is>
      </c>
      <c r="R28" s="623" t="n"/>
      <c r="S28" s="624" t="inlineStr">
        <is>
          <t xml:space="preserve">Payment </t>
        </is>
      </c>
      <c r="U28" s="622" t="inlineStr">
        <is>
          <t>Date:</t>
        </is>
      </c>
      <c r="V28" s="623" t="n"/>
      <c r="W28" s="624" t="inlineStr">
        <is>
          <t xml:space="preserve">Payment </t>
        </is>
      </c>
    </row>
    <row r="29" ht="18" customHeight="1" s="562">
      <c r="A29" s="625" t="n">
        <v>46054</v>
      </c>
      <c r="B29" s="766" t="inlineStr">
        <is>
          <t xml:space="preserve">invoiced </t>
        </is>
      </c>
      <c r="C29" s="627" t="n">
        <v>2036</v>
      </c>
      <c r="E29" s="625" t="n">
        <v>45662</v>
      </c>
      <c r="F29" s="766" t="inlineStr">
        <is>
          <t xml:space="preserve">invoiced </t>
        </is>
      </c>
      <c r="G29" s="601" t="n">
        <v>13500</v>
      </c>
      <c r="I29" s="625" t="n">
        <v>46058</v>
      </c>
      <c r="J29" s="766" t="inlineStr">
        <is>
          <t xml:space="preserve">invoiced </t>
        </is>
      </c>
      <c r="K29" s="864" t="n">
        <v>5250</v>
      </c>
      <c r="M29" s="628" t="n">
        <v>46054</v>
      </c>
      <c r="N29" s="766" t="inlineStr">
        <is>
          <t>invoiced TCH</t>
        </is>
      </c>
      <c r="O29" s="627" t="n">
        <v>3000</v>
      </c>
      <c r="Q29" s="628" t="n">
        <v>46057</v>
      </c>
      <c r="R29" s="766" t="inlineStr">
        <is>
          <t xml:space="preserve">invoiced </t>
        </is>
      </c>
      <c r="S29" s="627" t="n">
        <v>6650</v>
      </c>
      <c r="U29" s="628" t="n">
        <v>46054</v>
      </c>
      <c r="V29" s="766" t="inlineStr">
        <is>
          <t xml:space="preserve">invoiced </t>
        </is>
      </c>
      <c r="W29" s="627" t="n">
        <v>12500</v>
      </c>
    </row>
    <row r="30" ht="18" customHeight="1" s="562">
      <c r="A30" s="625" t="n">
        <v>46061</v>
      </c>
      <c r="B30" s="766" t="inlineStr">
        <is>
          <t xml:space="preserve">invoiced </t>
        </is>
      </c>
      <c r="C30" s="627" t="n">
        <v>2036</v>
      </c>
      <c r="E30" s="625" t="n"/>
      <c r="F30" s="766" t="n"/>
      <c r="G30" s="601" t="n"/>
      <c r="I30" s="625" t="n"/>
      <c r="J30" s="766" t="n"/>
      <c r="K30" s="627" t="n"/>
      <c r="M30" s="628" t="n"/>
      <c r="N30" s="766" t="n"/>
      <c r="O30" s="627" t="n"/>
      <c r="Q30" s="628" t="n">
        <v>46064</v>
      </c>
      <c r="R30" s="766" t="inlineStr">
        <is>
          <t xml:space="preserve">invoiced </t>
        </is>
      </c>
      <c r="S30" s="627" t="n">
        <v>6650</v>
      </c>
      <c r="U30" s="628" t="n">
        <v>46064</v>
      </c>
      <c r="V30" s="766" t="inlineStr">
        <is>
          <t xml:space="preserve">invoiced </t>
        </is>
      </c>
      <c r="W30" s="627" t="n">
        <v>1500</v>
      </c>
    </row>
    <row r="31" ht="18" customHeight="1" s="562">
      <c r="A31" s="625" t="n"/>
      <c r="B31" s="766" t="n"/>
      <c r="C31" s="627" t="n"/>
      <c r="E31" s="625" t="n"/>
      <c r="F31" s="766" t="n"/>
      <c r="G31" s="601" t="n"/>
      <c r="I31" s="625" t="n"/>
      <c r="J31" s="626" t="n"/>
      <c r="K31" s="624" t="n"/>
      <c r="M31" s="628" t="n"/>
      <c r="N31" s="626" t="n"/>
      <c r="O31" s="624" t="n"/>
      <c r="Q31" s="628" t="n">
        <v>46071</v>
      </c>
      <c r="R31" s="766" t="inlineStr">
        <is>
          <t xml:space="preserve">invoiced </t>
        </is>
      </c>
      <c r="S31" s="627" t="n">
        <v>6650</v>
      </c>
      <c r="U31" s="628" t="n"/>
      <c r="W31" s="624" t="n"/>
    </row>
    <row r="32" ht="18.75" customHeight="1" s="562">
      <c r="A32" s="625" t="n"/>
      <c r="B32" s="766" t="n"/>
      <c r="C32" s="639" t="n"/>
      <c r="E32" s="625" t="n"/>
      <c r="F32" s="609" t="n"/>
      <c r="G32" s="861" t="n"/>
      <c r="I32" s="625" t="n"/>
      <c r="J32" s="626" t="n"/>
      <c r="K32" s="624" t="n"/>
      <c r="M32" s="628" t="n"/>
      <c r="N32" s="626" t="n"/>
      <c r="O32" s="624" t="n"/>
      <c r="Q32" s="628" t="n">
        <v>46078</v>
      </c>
      <c r="R32" s="766" t="n"/>
      <c r="S32" s="627" t="n">
        <v>6650</v>
      </c>
      <c r="U32" s="628" t="n"/>
      <c r="V32" s="626" t="n"/>
      <c r="W32" s="624" t="n"/>
    </row>
    <row r="33" ht="18.75" customHeight="1" s="562">
      <c r="A33" s="622" t="n"/>
      <c r="B33" s="623" t="n"/>
      <c r="C33" s="631">
        <f>SUM(C29:C32)</f>
        <v/>
      </c>
      <c r="E33" s="620" t="n"/>
      <c r="F33" s="591" t="n"/>
      <c r="G33" s="642">
        <f>SUM(G29:G32)</f>
        <v/>
      </c>
      <c r="I33" s="622" t="n"/>
      <c r="J33" s="623" t="n"/>
      <c r="K33" s="631">
        <f>SUM(K29:K32)</f>
        <v/>
      </c>
      <c r="M33" s="622" t="n"/>
      <c r="N33" s="623" t="n"/>
      <c r="O33" s="631">
        <f>SUM(O29:O32)</f>
        <v/>
      </c>
      <c r="Q33" s="628" t="n"/>
      <c r="R33" s="766" t="n"/>
      <c r="S33" s="627" t="n"/>
      <c r="U33" s="628" t="n"/>
      <c r="V33" s="626" t="n"/>
      <c r="W33" s="626" t="n"/>
    </row>
    <row r="34" ht="18.75" customHeight="1" s="562">
      <c r="A34" s="633" t="inlineStr">
        <is>
          <t xml:space="preserve">Expenses </t>
        </is>
      </c>
      <c r="B34" s="617" t="n"/>
      <c r="C34" s="618" t="n"/>
      <c r="E34" s="632" t="inlineStr">
        <is>
          <t xml:space="preserve">Expenses </t>
        </is>
      </c>
      <c r="F34" s="617" t="n"/>
      <c r="G34" s="618" t="n"/>
      <c r="I34" s="643" t="inlineStr">
        <is>
          <t xml:space="preserve">Expenses </t>
        </is>
      </c>
      <c r="J34" s="617" t="n"/>
      <c r="K34" s="618" t="n"/>
      <c r="M34" s="643" t="inlineStr">
        <is>
          <t xml:space="preserve">Expenses </t>
        </is>
      </c>
      <c r="N34" s="617" t="n"/>
      <c r="O34" s="618" t="n"/>
      <c r="Q34" s="622" t="n"/>
      <c r="R34" s="623" t="n"/>
      <c r="S34" s="630">
        <f>SUM(S29:S33)</f>
        <v/>
      </c>
      <c r="U34" s="622" t="n"/>
      <c r="V34" s="623" t="n"/>
      <c r="W34" s="631">
        <f>SUM(W29:W32)</f>
        <v/>
      </c>
    </row>
    <row r="35" ht="18.75" customHeight="1" s="562">
      <c r="A35" s="622" t="inlineStr">
        <is>
          <t>Date:</t>
        </is>
      </c>
      <c r="B35" s="623" t="inlineStr">
        <is>
          <t xml:space="preserve">Expense Name </t>
        </is>
      </c>
      <c r="C35" s="624" t="inlineStr">
        <is>
          <t xml:space="preserve">Amount </t>
        </is>
      </c>
      <c r="E35" s="620" t="inlineStr">
        <is>
          <t>Date:</t>
        </is>
      </c>
      <c r="F35" s="591" t="inlineStr">
        <is>
          <t xml:space="preserve">Expense Name </t>
        </is>
      </c>
      <c r="G35" s="621" t="inlineStr">
        <is>
          <t xml:space="preserve">Amount </t>
        </is>
      </c>
      <c r="I35" s="622" t="inlineStr">
        <is>
          <t>Date:</t>
        </is>
      </c>
      <c r="J35" s="623" t="inlineStr">
        <is>
          <t xml:space="preserve">Expense Name </t>
        </is>
      </c>
      <c r="K35" s="624" t="inlineStr">
        <is>
          <t xml:space="preserve">Amount </t>
        </is>
      </c>
      <c r="M35" s="622" t="inlineStr">
        <is>
          <t>Date:</t>
        </is>
      </c>
      <c r="N35" s="623" t="inlineStr">
        <is>
          <t xml:space="preserve">Expense Name </t>
        </is>
      </c>
      <c r="O35" s="624" t="inlineStr">
        <is>
          <t xml:space="preserve">Amount </t>
        </is>
      </c>
      <c r="Q35" s="643" t="inlineStr">
        <is>
          <t xml:space="preserve">Expenses </t>
        </is>
      </c>
      <c r="R35" s="617" t="n"/>
      <c r="S35" s="618" t="n"/>
      <c r="U35" s="643" t="inlineStr">
        <is>
          <t xml:space="preserve">Expenses </t>
        </is>
      </c>
      <c r="V35" s="617" t="n"/>
      <c r="W35" s="618" t="n"/>
    </row>
    <row r="36" ht="18" customHeight="1" s="562">
      <c r="A36" s="625" t="n">
        <v>46054</v>
      </c>
      <c r="B36" s="591" t="inlineStr">
        <is>
          <t xml:space="preserve">Siphe </t>
        </is>
      </c>
      <c r="C36" s="621" t="n"/>
      <c r="E36" s="625" t="n">
        <v>46054</v>
      </c>
      <c r="F36" s="591" t="inlineStr">
        <is>
          <t>Siphilisiwe (Patrica)</t>
        </is>
      </c>
      <c r="G36" s="621" t="n"/>
      <c r="I36" s="625" t="n">
        <v>46054</v>
      </c>
      <c r="J36" s="623" t="inlineStr">
        <is>
          <t xml:space="preserve">Emilia </t>
        </is>
      </c>
      <c r="K36" s="624" t="n"/>
      <c r="M36" s="625" t="n">
        <v>46054</v>
      </c>
      <c r="N36" s="623" t="inlineStr">
        <is>
          <t>Ruth</t>
        </is>
      </c>
      <c r="O36" s="624" t="n"/>
      <c r="Q36" s="622" t="inlineStr">
        <is>
          <t>Date:</t>
        </is>
      </c>
      <c r="R36" s="623" t="inlineStr">
        <is>
          <t xml:space="preserve">Expense Name </t>
        </is>
      </c>
      <c r="S36" s="624" t="inlineStr">
        <is>
          <t xml:space="preserve">Amount </t>
        </is>
      </c>
      <c r="U36" s="622" t="inlineStr">
        <is>
          <t>Date:</t>
        </is>
      </c>
      <c r="V36" s="623" t="inlineStr">
        <is>
          <t xml:space="preserve">Expense Name </t>
        </is>
      </c>
      <c r="W36" s="624" t="inlineStr">
        <is>
          <t xml:space="preserve">Amount </t>
        </is>
      </c>
    </row>
    <row r="37" ht="18" customHeight="1" s="562">
      <c r="A37" s="625" t="n"/>
      <c r="B37" s="591" t="n"/>
      <c r="C37" s="621" t="n"/>
      <c r="E37" s="628" t="n"/>
      <c r="G37" s="621" t="n"/>
      <c r="I37" s="628" t="n"/>
      <c r="J37" s="623" t="n"/>
      <c r="K37" s="624" t="n"/>
      <c r="M37" s="628" t="n"/>
      <c r="N37" s="623" t="n"/>
      <c r="O37" s="624" t="n"/>
      <c r="Q37" s="625" t="n">
        <v>45992</v>
      </c>
      <c r="R37" s="623" t="inlineStr">
        <is>
          <t>Tracy</t>
        </is>
      </c>
      <c r="S37" s="624" t="n"/>
      <c r="U37" s="625" t="n">
        <v>45658</v>
      </c>
      <c r="V37" s="623" t="inlineStr">
        <is>
          <t>monique</t>
        </is>
      </c>
      <c r="W37" s="624" t="n"/>
    </row>
    <row r="38" ht="18" customHeight="1" s="562">
      <c r="A38" s="620" t="n"/>
      <c r="B38" s="591" t="n"/>
      <c r="C38" s="621" t="n"/>
      <c r="E38" s="628" t="n"/>
      <c r="F38" s="591" t="n"/>
      <c r="G38" s="621" t="n"/>
      <c r="I38" s="628" t="n"/>
      <c r="J38" s="623" t="n"/>
      <c r="K38" s="624" t="n"/>
      <c r="M38" s="628" t="n"/>
      <c r="N38" s="623" t="n"/>
      <c r="O38" s="624" t="n"/>
      <c r="Q38" s="628" t="n"/>
      <c r="R38" s="623" t="inlineStr">
        <is>
          <t>Musa</t>
        </is>
      </c>
      <c r="S38" s="624" t="n"/>
      <c r="U38" s="628" t="n"/>
      <c r="V38" s="623" t="inlineStr">
        <is>
          <t xml:space="preserve">Joyce </t>
        </is>
      </c>
      <c r="W38" s="624" t="n"/>
    </row>
    <row r="39" ht="18" customHeight="1" s="562">
      <c r="A39" s="620" t="n"/>
      <c r="B39" s="591" t="n"/>
      <c r="C39" s="621" t="n"/>
      <c r="E39" s="620" t="n"/>
      <c r="F39" s="591" t="n"/>
      <c r="G39" s="621" t="n"/>
      <c r="I39" s="622" t="n"/>
      <c r="J39" s="623" t="n"/>
      <c r="K39" s="624" t="n"/>
      <c r="M39" s="622" t="n"/>
      <c r="N39" s="623" t="n"/>
      <c r="O39" s="624" t="n"/>
      <c r="Q39" s="628" t="n"/>
      <c r="R39" s="623" t="n"/>
      <c r="S39" s="624" t="n"/>
      <c r="U39" s="628" t="n"/>
      <c r="V39" s="623" t="n"/>
      <c r="W39" s="624" t="n"/>
    </row>
    <row r="40" ht="18" customHeight="1" s="562">
      <c r="A40" s="620" t="n"/>
      <c r="B40" s="591" t="n"/>
      <c r="C40" s="621" t="n"/>
      <c r="E40" s="620" t="n"/>
      <c r="F40" s="591" t="n"/>
      <c r="G40" s="621" t="n"/>
      <c r="I40" s="622" t="n"/>
      <c r="J40" s="623" t="n"/>
      <c r="K40" s="624" t="n"/>
      <c r="M40" s="622" t="n"/>
      <c r="N40" s="623" t="n"/>
      <c r="O40" s="624" t="n"/>
      <c r="Q40" s="622" t="n"/>
      <c r="R40" s="623" t="n"/>
      <c r="S40" s="624" t="n"/>
      <c r="U40" s="622" t="n"/>
      <c r="V40" s="623" t="n"/>
      <c r="W40" s="624" t="n"/>
    </row>
    <row r="41" ht="18" customHeight="1" s="562">
      <c r="A41" s="620" t="n"/>
      <c r="B41" s="591" t="n"/>
      <c r="C41" s="621" t="n"/>
      <c r="E41" s="620" t="n"/>
      <c r="F41" s="591" t="n"/>
      <c r="G41" s="621" t="n"/>
      <c r="I41" s="622" t="n"/>
      <c r="J41" s="623" t="n"/>
      <c r="K41" s="624" t="n"/>
      <c r="M41" s="622" t="n"/>
      <c r="N41" s="623" t="n"/>
      <c r="O41" s="624" t="n"/>
      <c r="Q41" s="622" t="n"/>
      <c r="R41" s="623" t="n"/>
      <c r="S41" s="624" t="n"/>
      <c r="U41" s="622" t="n"/>
      <c r="V41" s="623" t="n"/>
      <c r="W41" s="624" t="n"/>
    </row>
    <row r="42" ht="18" customHeight="1" s="562">
      <c r="A42" s="620" t="n"/>
      <c r="B42" s="591" t="n"/>
      <c r="C42" s="621" t="n"/>
      <c r="E42" s="620" t="n"/>
      <c r="F42" s="591" t="n"/>
      <c r="G42" s="621" t="n"/>
      <c r="I42" s="622" t="n"/>
      <c r="J42" s="623" t="n"/>
      <c r="K42" s="624" t="n"/>
      <c r="M42" s="622" t="n"/>
      <c r="N42" s="623" t="n"/>
      <c r="O42" s="624" t="n"/>
      <c r="Q42" s="622" t="n"/>
      <c r="R42" s="623" t="n"/>
      <c r="S42" s="624" t="n"/>
      <c r="U42" s="622" t="n"/>
      <c r="V42" s="623" t="n"/>
      <c r="W42" s="624" t="n"/>
    </row>
    <row r="43" ht="18" customHeight="1" s="562">
      <c r="A43" s="620" t="n"/>
      <c r="B43" s="591" t="n"/>
      <c r="C43" s="621" t="n"/>
      <c r="E43" s="620" t="n"/>
      <c r="F43" s="591" t="n"/>
      <c r="G43" s="621" t="n"/>
      <c r="I43" s="622" t="n"/>
      <c r="J43" s="623" t="n"/>
      <c r="K43" s="624" t="n"/>
      <c r="M43" s="622" t="n"/>
      <c r="N43" s="623" t="n"/>
      <c r="O43" s="624" t="n"/>
      <c r="Q43" s="622" t="n"/>
      <c r="R43" s="623" t="n"/>
      <c r="S43" s="624" t="n"/>
      <c r="U43" s="622" t="n"/>
      <c r="V43" s="623" t="n"/>
      <c r="W43" s="624" t="n"/>
    </row>
    <row r="44" ht="18" customHeight="1" s="562">
      <c r="A44" s="620" t="n"/>
      <c r="B44" s="591" t="n"/>
      <c r="C44" s="621" t="n"/>
      <c r="E44" s="620" t="n"/>
      <c r="F44" s="591" t="n"/>
      <c r="G44" s="621" t="n"/>
      <c r="I44" s="622" t="n"/>
      <c r="J44" s="623" t="n"/>
      <c r="K44" s="624" t="n"/>
      <c r="M44" s="622" t="n"/>
      <c r="N44" s="623" t="n"/>
      <c r="O44" s="624" t="n"/>
      <c r="Q44" s="622" t="n"/>
      <c r="R44" s="623" t="n"/>
      <c r="S44" s="624" t="n"/>
      <c r="U44" s="622" t="n"/>
      <c r="V44" s="623" t="n"/>
      <c r="W44" s="624" t="n"/>
    </row>
    <row r="45" ht="18" customHeight="1" s="562">
      <c r="A45" s="620" t="n"/>
      <c r="B45" s="591" t="n"/>
      <c r="C45" s="621" t="n"/>
      <c r="E45" s="620" t="n"/>
      <c r="F45" s="591" t="n"/>
      <c r="G45" s="621" t="n"/>
      <c r="I45" s="622" t="n"/>
      <c r="J45" s="623" t="n"/>
      <c r="K45" s="624" t="n"/>
      <c r="M45" s="622" t="n"/>
      <c r="N45" s="623" t="n"/>
      <c r="O45" s="624" t="n"/>
      <c r="Q45" s="622" t="n"/>
      <c r="R45" s="623" t="n"/>
      <c r="S45" s="624" t="n"/>
      <c r="U45" s="622" t="n"/>
      <c r="V45" s="623" t="n"/>
      <c r="W45" s="624" t="n"/>
    </row>
    <row r="46" ht="18" customHeight="1" s="562">
      <c r="A46" s="620" t="n"/>
      <c r="B46" s="591" t="n"/>
      <c r="C46" s="621" t="n"/>
      <c r="E46" s="620" t="n"/>
      <c r="F46" s="591" t="n"/>
      <c r="G46" s="621" t="n"/>
      <c r="I46" s="622" t="n"/>
      <c r="J46" s="623" t="n"/>
      <c r="K46" s="624" t="n"/>
      <c r="M46" s="622" t="n"/>
      <c r="N46" s="623" t="n"/>
      <c r="O46" s="624" t="n"/>
      <c r="Q46" s="622" t="n"/>
      <c r="R46" s="623" t="n"/>
      <c r="S46" s="624" t="n"/>
      <c r="U46" s="622" t="n"/>
      <c r="V46" s="623" t="n"/>
      <c r="W46" s="624" t="n"/>
    </row>
    <row r="47" ht="18.75" customHeight="1" s="562">
      <c r="A47" s="620" t="n"/>
      <c r="B47" s="591" t="n"/>
      <c r="C47" s="621" t="n"/>
      <c r="E47" s="620" t="n"/>
      <c r="F47" s="591" t="n"/>
      <c r="G47" s="621" t="n"/>
      <c r="I47" s="622" t="n"/>
      <c r="J47" s="623" t="n"/>
      <c r="K47" s="624" t="n"/>
      <c r="M47" s="622" t="n"/>
      <c r="N47" s="623" t="n"/>
      <c r="O47" s="624" t="n"/>
      <c r="Q47" s="622" t="n"/>
      <c r="R47" s="623" t="n"/>
      <c r="S47" s="624" t="n"/>
      <c r="U47" s="622" t="n"/>
      <c r="V47" s="623" t="n"/>
      <c r="W47" s="624" t="n"/>
    </row>
    <row r="48" ht="18.75" customHeight="1" s="562">
      <c r="A48" s="634" t="inlineStr">
        <is>
          <t xml:space="preserve">Total Expense </t>
        </is>
      </c>
      <c r="B48" s="617" t="n"/>
      <c r="C48" s="635">
        <f>SUM(C36:C47)</f>
        <v/>
      </c>
      <c r="E48" s="634" t="inlineStr">
        <is>
          <t xml:space="preserve">Total Expense </t>
        </is>
      </c>
      <c r="F48" s="617" t="n"/>
      <c r="G48" s="635">
        <f>SUM(G36:G47)</f>
        <v/>
      </c>
      <c r="I48" s="644" t="inlineStr">
        <is>
          <t xml:space="preserve">Total Expense </t>
        </is>
      </c>
      <c r="J48" s="637" t="n"/>
      <c r="K48" s="645" t="n"/>
      <c r="M48" s="644" t="inlineStr">
        <is>
          <t xml:space="preserve">Total Expense </t>
        </is>
      </c>
      <c r="N48" s="637" t="n"/>
      <c r="O48" s="645" t="n"/>
      <c r="Q48" s="910" t="inlineStr">
        <is>
          <t xml:space="preserve">Total Expense </t>
        </is>
      </c>
      <c r="R48" s="911" t="n"/>
      <c r="S48" s="645" t="n"/>
      <c r="U48" s="910" t="inlineStr">
        <is>
          <t xml:space="preserve">Total Expense </t>
        </is>
      </c>
      <c r="V48" s="911" t="n"/>
      <c r="W48" s="645" t="n"/>
    </row>
    <row r="49" ht="18.75" customHeight="1" s="562">
      <c r="A49" s="636" t="inlineStr">
        <is>
          <t xml:space="preserve">Income - Expense </t>
        </is>
      </c>
      <c r="B49" s="637" t="n"/>
      <c r="C49" s="638">
        <f>MIN(C29-C48)</f>
        <v/>
      </c>
      <c r="E49" s="636" t="inlineStr">
        <is>
          <t xml:space="preserve">Income - Expense </t>
        </is>
      </c>
      <c r="F49" s="637" t="n"/>
      <c r="G49" s="638">
        <f>MIN(G29-G48)</f>
        <v/>
      </c>
      <c r="I49" s="646" t="inlineStr">
        <is>
          <t xml:space="preserve">Income - Expense </t>
        </is>
      </c>
      <c r="J49" s="637" t="n"/>
      <c r="K49" s="647" t="n"/>
      <c r="M49" s="646" t="inlineStr">
        <is>
          <t xml:space="preserve">Income - Expense </t>
        </is>
      </c>
      <c r="N49" s="637" t="n"/>
      <c r="O49" s="647" t="n"/>
      <c r="Q49" s="646" t="inlineStr">
        <is>
          <t xml:space="preserve">Income - Expense </t>
        </is>
      </c>
      <c r="R49" s="637" t="n"/>
      <c r="S49" s="773" t="n"/>
      <c r="U49" s="646" t="inlineStr">
        <is>
          <t xml:space="preserve">Income - Expense </t>
        </is>
      </c>
      <c r="V49" s="637" t="n"/>
      <c r="W49" s="773" t="n"/>
    </row>
    <row r="50" ht="18" customHeight="1" s="562">
      <c r="A50" s="912" t="n"/>
      <c r="B50" s="912" t="n"/>
      <c r="C50" s="913" t="n"/>
      <c r="E50" s="912" t="n"/>
      <c r="F50" s="912" t="n"/>
      <c r="G50" s="913" t="n"/>
      <c r="I50" s="767" t="n"/>
      <c r="J50" s="767" t="n"/>
      <c r="K50" s="768" t="n"/>
      <c r="M50" s="767" t="n"/>
      <c r="N50" s="767" t="n"/>
      <c r="O50" s="768" t="n"/>
      <c r="Q50" s="771" t="n"/>
      <c r="R50" s="771" t="n"/>
      <c r="S50" s="768" t="n"/>
      <c r="U50" s="771" t="n"/>
      <c r="V50" s="771" t="n"/>
      <c r="W50" s="768" t="n"/>
    </row>
    <row r="51" ht="18.75" customHeight="1" s="562">
      <c r="A51" s="615" t="inlineStr">
        <is>
          <t>Mia Ras- monthly</t>
        </is>
      </c>
      <c r="B51" s="613" t="n"/>
      <c r="C51" s="614" t="n"/>
      <c r="E51" s="615" t="inlineStr">
        <is>
          <t>Megan Barnes</t>
        </is>
      </c>
      <c r="F51" s="613" t="n"/>
      <c r="G51" s="614" t="n"/>
      <c r="I51" s="615" t="inlineStr">
        <is>
          <t>Johanna Van Heerden- monthly</t>
        </is>
      </c>
      <c r="J51" s="613" t="n"/>
      <c r="K51" s="614" t="n"/>
      <c r="M51" s="615" t="inlineStr">
        <is>
          <t>Andre Theron- monthly</t>
        </is>
      </c>
      <c r="N51" s="613" t="n"/>
      <c r="O51" s="614" t="n"/>
      <c r="Q51" s="615" t="inlineStr">
        <is>
          <t xml:space="preserve">Derek Halls </t>
        </is>
      </c>
      <c r="R51" s="613" t="n"/>
      <c r="S51" s="614" t="n"/>
      <c r="T51" s="771" t="n"/>
      <c r="U51" s="615" t="inlineStr">
        <is>
          <t xml:space="preserve">Morrison </t>
        </is>
      </c>
      <c r="V51" s="613" t="n"/>
      <c r="W51" s="614" t="n"/>
      <c r="X51" s="771" t="n"/>
    </row>
    <row r="52" ht="18.75" customHeight="1" s="562">
      <c r="A52" s="619" t="inlineStr">
        <is>
          <t xml:space="preserve">Income </t>
        </is>
      </c>
      <c r="B52" s="617" t="n"/>
      <c r="C52" s="618" t="n"/>
      <c r="E52" s="619" t="inlineStr">
        <is>
          <t xml:space="preserve">Income </t>
        </is>
      </c>
      <c r="F52" s="617" t="n"/>
      <c r="G52" s="618" t="n"/>
      <c r="I52" s="619" t="inlineStr">
        <is>
          <t xml:space="preserve">Income </t>
        </is>
      </c>
      <c r="J52" s="617" t="n"/>
      <c r="K52" s="618" t="n"/>
      <c r="M52" s="619" t="inlineStr">
        <is>
          <t xml:space="preserve">Income </t>
        </is>
      </c>
      <c r="N52" s="617" t="n"/>
      <c r="O52" s="618" t="n"/>
      <c r="Q52" s="619" t="inlineStr">
        <is>
          <t xml:space="preserve">Income </t>
        </is>
      </c>
      <c r="R52" s="617" t="n"/>
      <c r="S52" s="618" t="n"/>
      <c r="T52" s="771" t="n"/>
      <c r="U52" s="619" t="inlineStr">
        <is>
          <t xml:space="preserve">Income </t>
        </is>
      </c>
      <c r="V52" s="617" t="n"/>
      <c r="W52" s="618" t="n"/>
      <c r="X52" s="771" t="n"/>
    </row>
    <row r="53" ht="18" customHeight="1" s="562">
      <c r="A53" s="622" t="inlineStr">
        <is>
          <t>Date:</t>
        </is>
      </c>
      <c r="B53" s="623" t="n"/>
      <c r="C53" s="624" t="inlineStr">
        <is>
          <t xml:space="preserve">Payment </t>
        </is>
      </c>
      <c r="E53" s="622" t="inlineStr">
        <is>
          <t>Date:</t>
        </is>
      </c>
      <c r="F53" s="623" t="n"/>
      <c r="G53" s="624" t="inlineStr">
        <is>
          <t xml:space="preserve">Payment </t>
        </is>
      </c>
      <c r="I53" s="622" t="inlineStr">
        <is>
          <t>Date:</t>
        </is>
      </c>
      <c r="J53" s="623" t="n"/>
      <c r="K53" s="624" t="inlineStr">
        <is>
          <t xml:space="preserve">Payment </t>
        </is>
      </c>
      <c r="M53" s="622" t="inlineStr">
        <is>
          <t>Date:</t>
        </is>
      </c>
      <c r="N53" s="623" t="n"/>
      <c r="O53" s="624" t="inlineStr">
        <is>
          <t xml:space="preserve">Payment </t>
        </is>
      </c>
      <c r="Q53" s="622" t="inlineStr">
        <is>
          <t>Date:</t>
        </is>
      </c>
      <c r="R53" s="623" t="n"/>
      <c r="S53" s="624" t="inlineStr">
        <is>
          <t xml:space="preserve">Payment </t>
        </is>
      </c>
      <c r="T53" s="771" t="n"/>
      <c r="U53" s="622" t="inlineStr">
        <is>
          <t>Date:</t>
        </is>
      </c>
      <c r="V53" s="623" t="n"/>
      <c r="W53" s="624" t="inlineStr">
        <is>
          <t xml:space="preserve">Payment </t>
        </is>
      </c>
      <c r="X53" s="771" t="n"/>
    </row>
    <row r="54" ht="18" customHeight="1" s="562">
      <c r="A54" s="862" t="n">
        <v>46054</v>
      </c>
      <c r="B54" s="863" t="inlineStr">
        <is>
          <t xml:space="preserve">invoiced </t>
        </is>
      </c>
      <c r="C54" s="627" t="n">
        <v>11900</v>
      </c>
      <c r="E54" s="628" t="n">
        <v>46054</v>
      </c>
      <c r="F54" s="766" t="inlineStr">
        <is>
          <t xml:space="preserve">invoiced </t>
        </is>
      </c>
      <c r="G54" s="627" t="n">
        <v>13000</v>
      </c>
      <c r="I54" s="628" t="n">
        <v>46054</v>
      </c>
      <c r="J54" s="766" t="inlineStr">
        <is>
          <t>Invoiced TCH</t>
        </is>
      </c>
      <c r="K54" s="627" t="n">
        <v>23250</v>
      </c>
      <c r="M54" s="628" t="n">
        <v>46054</v>
      </c>
      <c r="N54" s="766" t="inlineStr">
        <is>
          <t xml:space="preserve">invoiced </t>
        </is>
      </c>
      <c r="O54" s="627" t="n">
        <v>15000</v>
      </c>
      <c r="Q54" s="628" t="n">
        <v>46054</v>
      </c>
      <c r="R54" s="766" t="inlineStr">
        <is>
          <t xml:space="preserve">invoiced </t>
        </is>
      </c>
      <c r="S54" s="627" t="n">
        <v>15000</v>
      </c>
      <c r="T54" s="771" t="n"/>
      <c r="U54" s="628" t="n">
        <v>46055</v>
      </c>
      <c r="V54" s="766" t="inlineStr">
        <is>
          <t xml:space="preserve">invoiced </t>
        </is>
      </c>
      <c r="W54" s="864" t="n"/>
      <c r="X54" s="771" t="n"/>
    </row>
    <row r="55" ht="18" customHeight="1" s="562">
      <c r="A55" s="627" t="n"/>
      <c r="B55" s="627" t="n"/>
      <c r="C55" s="627" t="n"/>
      <c r="E55" s="628" t="n"/>
      <c r="F55" s="766" t="n"/>
      <c r="G55" s="627" t="n"/>
      <c r="I55" s="628" t="n"/>
      <c r="J55" s="766" t="n"/>
      <c r="K55" s="624" t="n"/>
      <c r="M55" s="628" t="n">
        <v>46070</v>
      </c>
      <c r="N55" s="766" t="inlineStr">
        <is>
          <t xml:space="preserve">invoiced </t>
        </is>
      </c>
      <c r="O55" s="627" t="n">
        <v>3450</v>
      </c>
      <c r="Q55" s="628" t="n">
        <v>46069</v>
      </c>
      <c r="R55" s="766" t="inlineStr">
        <is>
          <t xml:space="preserve">invoiced </t>
        </is>
      </c>
      <c r="S55" s="627" t="n">
        <v>1500</v>
      </c>
      <c r="T55" s="771" t="n"/>
      <c r="U55" s="628" t="n">
        <v>46062</v>
      </c>
      <c r="V55" s="766" t="n"/>
      <c r="W55" s="627" t="n"/>
      <c r="X55" s="771" t="n"/>
    </row>
    <row r="56" ht="18" customHeight="1" s="562">
      <c r="A56" s="627" t="n"/>
      <c r="B56" s="627" t="n"/>
      <c r="C56" s="627" t="n"/>
      <c r="E56" s="628" t="n"/>
      <c r="F56" s="626" t="n"/>
      <c r="G56" s="627" t="n"/>
      <c r="I56" s="628" t="n"/>
      <c r="K56" s="624" t="n"/>
      <c r="M56" s="628" t="n"/>
      <c r="O56" s="624" t="n"/>
      <c r="Q56" s="628" t="n"/>
      <c r="S56" s="624" t="n"/>
      <c r="T56" s="771" t="n"/>
      <c r="U56" s="628" t="n">
        <v>46069</v>
      </c>
      <c r="W56" s="627" t="n"/>
      <c r="X56" s="771" t="n"/>
    </row>
    <row r="57" ht="18" customHeight="1" s="562">
      <c r="A57" s="627" t="n"/>
      <c r="B57" s="627" t="n"/>
      <c r="C57" s="627" t="n"/>
      <c r="E57" s="628" t="n"/>
      <c r="F57" s="626" t="n"/>
      <c r="G57" s="624" t="n"/>
      <c r="I57" s="628" t="n"/>
      <c r="J57" s="626" t="n"/>
      <c r="K57" s="624" t="n"/>
      <c r="M57" s="628" t="n"/>
      <c r="N57" s="626" t="n"/>
      <c r="O57" s="624" t="n"/>
      <c r="Q57" s="628" t="n"/>
      <c r="R57" s="626" t="n"/>
      <c r="S57" s="624" t="n"/>
      <c r="T57" s="771" t="n"/>
      <c r="U57" s="628" t="n">
        <v>46076</v>
      </c>
      <c r="V57" s="626" t="n"/>
      <c r="W57" s="627" t="n"/>
      <c r="X57" s="771" t="n"/>
    </row>
    <row r="58" ht="18.75" customHeight="1" s="562">
      <c r="A58" s="627" t="n"/>
      <c r="B58" s="627" t="n"/>
      <c r="C58" s="627" t="n"/>
      <c r="E58" s="628" t="n"/>
      <c r="F58" s="626" t="n"/>
      <c r="G58" s="626" t="n"/>
      <c r="I58" s="628" t="n"/>
      <c r="J58" s="626" t="n"/>
      <c r="K58" s="626" t="n"/>
      <c r="M58" s="628" t="n"/>
      <c r="N58" s="626" t="n"/>
      <c r="O58" s="626" t="n"/>
      <c r="Q58" s="628" t="n"/>
      <c r="R58" s="626" t="n"/>
      <c r="S58" s="626" t="n"/>
      <c r="T58" s="771" t="n"/>
      <c r="U58" s="628" t="n"/>
      <c r="V58" s="626" t="n"/>
      <c r="W58" s="626" t="n"/>
      <c r="X58" s="771" t="n"/>
    </row>
    <row r="59" ht="18.75" customHeight="1" s="562">
      <c r="A59" s="627" t="n"/>
      <c r="B59" s="627" t="n"/>
      <c r="C59" s="627">
        <f>SUM(C54:C58)</f>
        <v/>
      </c>
      <c r="E59" s="622" t="n"/>
      <c r="F59" s="623" t="n"/>
      <c r="G59" s="631">
        <f>SUM(G54:G57)</f>
        <v/>
      </c>
      <c r="I59" s="622" t="n"/>
      <c r="J59" s="623" t="n"/>
      <c r="K59" s="631">
        <f>SUM(K54:K57)</f>
        <v/>
      </c>
      <c r="M59" s="622" t="n"/>
      <c r="N59" s="623" t="n"/>
      <c r="O59" s="631">
        <f>SUM(O54:O57)</f>
        <v/>
      </c>
      <c r="Q59" s="622" t="n"/>
      <c r="R59" s="623" t="n"/>
      <c r="S59" s="631">
        <f>SUM(S54:S57)</f>
        <v/>
      </c>
      <c r="T59" s="771" t="n"/>
      <c r="U59" s="622" t="n"/>
      <c r="V59" s="623" t="n"/>
      <c r="W59" s="631">
        <f>SUM(W54:W57)</f>
        <v/>
      </c>
      <c r="X59" s="771" t="n"/>
    </row>
    <row r="60" ht="18.75" customHeight="1" s="562">
      <c r="A60" s="643" t="inlineStr">
        <is>
          <t xml:space="preserve">Expenses </t>
        </is>
      </c>
      <c r="B60" s="617" t="n"/>
      <c r="C60" s="618" t="n"/>
      <c r="E60" s="643" t="inlineStr">
        <is>
          <t xml:space="preserve">Expenses </t>
        </is>
      </c>
      <c r="F60" s="617" t="n"/>
      <c r="G60" s="618" t="n"/>
      <c r="I60" s="643" t="inlineStr">
        <is>
          <t xml:space="preserve">Expenses </t>
        </is>
      </c>
      <c r="J60" s="617" t="n"/>
      <c r="K60" s="618" t="n"/>
      <c r="M60" s="643" t="inlineStr">
        <is>
          <t xml:space="preserve">Expenses </t>
        </is>
      </c>
      <c r="N60" s="617" t="n"/>
      <c r="O60" s="618" t="n"/>
      <c r="Q60" s="643" t="inlineStr">
        <is>
          <t xml:space="preserve">Expenses </t>
        </is>
      </c>
      <c r="R60" s="617" t="n"/>
      <c r="S60" s="618" t="n"/>
      <c r="T60" s="771" t="n"/>
      <c r="U60" s="643" t="inlineStr">
        <is>
          <t xml:space="preserve">Expenses </t>
        </is>
      </c>
      <c r="V60" s="617" t="n"/>
      <c r="W60" s="618" t="n"/>
      <c r="X60" s="771" t="n"/>
    </row>
    <row r="61" ht="18" customHeight="1" s="562">
      <c r="A61" s="622" t="inlineStr">
        <is>
          <t>Date:</t>
        </is>
      </c>
      <c r="B61" s="623" t="inlineStr">
        <is>
          <t xml:space="preserve">Expense Name </t>
        </is>
      </c>
      <c r="C61" s="624" t="inlineStr">
        <is>
          <t xml:space="preserve">Amount </t>
        </is>
      </c>
      <c r="E61" s="622" t="inlineStr">
        <is>
          <t>Date:</t>
        </is>
      </c>
      <c r="F61" s="623" t="inlineStr">
        <is>
          <t xml:space="preserve">Expense Name </t>
        </is>
      </c>
      <c r="G61" s="624" t="inlineStr">
        <is>
          <t xml:space="preserve">Amount </t>
        </is>
      </c>
      <c r="I61" s="622" t="inlineStr">
        <is>
          <t>Date:</t>
        </is>
      </c>
      <c r="J61" s="623" t="inlineStr">
        <is>
          <t xml:space="preserve">Expense Name </t>
        </is>
      </c>
      <c r="K61" s="624" t="inlineStr">
        <is>
          <t xml:space="preserve">Amount </t>
        </is>
      </c>
      <c r="M61" s="622" t="inlineStr">
        <is>
          <t>Date:</t>
        </is>
      </c>
      <c r="N61" s="623" t="inlineStr">
        <is>
          <t xml:space="preserve">Expense Name </t>
        </is>
      </c>
      <c r="O61" s="624" t="inlineStr">
        <is>
          <t xml:space="preserve">Amount </t>
        </is>
      </c>
      <c r="Q61" s="622" t="inlineStr">
        <is>
          <t>Date:</t>
        </is>
      </c>
      <c r="R61" s="623" t="inlineStr">
        <is>
          <t xml:space="preserve">Expense Name </t>
        </is>
      </c>
      <c r="S61" s="624" t="inlineStr">
        <is>
          <t xml:space="preserve">Amount </t>
        </is>
      </c>
      <c r="T61" s="771" t="n"/>
      <c r="U61" s="622" t="inlineStr">
        <is>
          <t>Date:</t>
        </is>
      </c>
      <c r="V61" s="623" t="inlineStr">
        <is>
          <t xml:space="preserve">Expense Name </t>
        </is>
      </c>
      <c r="W61" s="624" t="inlineStr">
        <is>
          <t xml:space="preserve">Amount </t>
        </is>
      </c>
      <c r="X61" s="771" t="n"/>
    </row>
    <row r="62" ht="18" customHeight="1" s="562">
      <c r="A62" s="625" t="n">
        <v>46054</v>
      </c>
      <c r="B62" s="623" t="inlineStr">
        <is>
          <t>Marion</t>
        </is>
      </c>
      <c r="C62" s="624" t="n"/>
      <c r="E62" s="628" t="n">
        <v>46023</v>
      </c>
      <c r="F62" s="623" t="inlineStr">
        <is>
          <t>Leah</t>
        </is>
      </c>
      <c r="G62" s="624" t="n"/>
      <c r="I62" s="625" t="n">
        <v>46054</v>
      </c>
      <c r="J62" s="623" t="inlineStr">
        <is>
          <t xml:space="preserve">Christina </t>
        </is>
      </c>
      <c r="K62" s="624" t="n"/>
      <c r="M62" s="625" t="n">
        <v>46054</v>
      </c>
      <c r="N62" s="623" t="inlineStr">
        <is>
          <t xml:space="preserve">Sophia </t>
        </is>
      </c>
      <c r="O62" s="624" t="n"/>
      <c r="Q62" s="625" t="n">
        <v>46054</v>
      </c>
      <c r="R62" s="623" t="inlineStr">
        <is>
          <t>Busi</t>
        </is>
      </c>
      <c r="S62" s="624" t="n"/>
      <c r="T62" s="771" t="n"/>
      <c r="U62" s="625" t="n">
        <v>46054</v>
      </c>
      <c r="V62" s="623" t="n"/>
      <c r="W62" s="624" t="n"/>
      <c r="X62" s="771" t="n"/>
    </row>
    <row r="63" ht="18" customHeight="1" s="562">
      <c r="A63" s="628" t="n"/>
      <c r="B63" s="623" t="n"/>
      <c r="C63" s="624" t="n"/>
      <c r="E63" s="628" t="n"/>
      <c r="F63" s="623" t="n"/>
      <c r="G63" s="624" t="n"/>
      <c r="I63" s="628" t="n">
        <v>46054</v>
      </c>
      <c r="J63" s="623" t="inlineStr">
        <is>
          <t>Ada</t>
        </is>
      </c>
      <c r="K63" s="624" t="n"/>
      <c r="M63" s="628" t="n"/>
      <c r="N63" s="623" t="inlineStr">
        <is>
          <t xml:space="preserve">Ndai </t>
        </is>
      </c>
      <c r="O63" s="624" t="n"/>
      <c r="Q63" s="628" t="n"/>
      <c r="R63" s="623" t="inlineStr">
        <is>
          <t>Sara</t>
        </is>
      </c>
      <c r="S63" s="624" t="n"/>
      <c r="T63" s="771" t="n"/>
      <c r="U63" s="628" t="n"/>
      <c r="V63" s="623" t="n"/>
      <c r="W63" s="624" t="n"/>
      <c r="X63" s="771" t="n"/>
    </row>
    <row r="64" ht="18" customHeight="1" s="562">
      <c r="A64" s="628" t="n"/>
      <c r="B64" s="623" t="n"/>
      <c r="C64" s="624" t="n"/>
      <c r="E64" s="628" t="n"/>
      <c r="F64" s="623" t="n"/>
      <c r="G64" s="624" t="n"/>
      <c r="I64" s="628" t="n"/>
      <c r="J64" s="623" t="n"/>
      <c r="K64" s="624" t="n"/>
      <c r="M64" s="628" t="n"/>
      <c r="N64" s="623" t="n"/>
      <c r="O64" s="624" t="n"/>
      <c r="Q64" s="628" t="n"/>
      <c r="R64" s="623" t="n"/>
      <c r="S64" s="624" t="n"/>
      <c r="T64" s="771" t="n"/>
      <c r="U64" s="628" t="n"/>
      <c r="V64" s="623" t="n"/>
      <c r="W64" s="624" t="n"/>
      <c r="X64" s="771" t="n"/>
    </row>
    <row r="65" ht="18" customHeight="1" s="562">
      <c r="A65" s="622" t="n"/>
      <c r="B65" s="623" t="n"/>
      <c r="C65" s="624" t="n"/>
      <c r="E65" s="622" t="n"/>
      <c r="F65" s="623" t="n"/>
      <c r="G65" s="624" t="n"/>
      <c r="I65" s="622" t="n"/>
      <c r="J65" s="623" t="n"/>
      <c r="K65" s="624" t="n"/>
      <c r="M65" s="622" t="n"/>
      <c r="N65" s="623" t="n"/>
      <c r="O65" s="624" t="n"/>
      <c r="Q65" s="622" t="n"/>
      <c r="R65" s="623" t="n"/>
      <c r="S65" s="624" t="n"/>
      <c r="T65" s="771" t="n"/>
      <c r="U65" s="622" t="n"/>
      <c r="V65" s="623" t="n"/>
      <c r="W65" s="624" t="n"/>
      <c r="X65" s="771" t="n"/>
    </row>
    <row r="66" ht="18" customHeight="1" s="562">
      <c r="A66" s="622" t="n"/>
      <c r="B66" s="623" t="n"/>
      <c r="C66" s="624" t="n"/>
      <c r="E66" s="622" t="n"/>
      <c r="F66" s="623" t="n"/>
      <c r="G66" s="624" t="n"/>
      <c r="I66" s="622" t="n"/>
      <c r="J66" s="623" t="n"/>
      <c r="K66" s="624" t="n"/>
      <c r="M66" s="622" t="n"/>
      <c r="N66" s="623" t="n"/>
      <c r="O66" s="624" t="n"/>
      <c r="Q66" s="622" t="n"/>
      <c r="R66" s="623" t="n"/>
      <c r="S66" s="624" t="n"/>
      <c r="T66" s="771" t="n"/>
      <c r="U66" s="622" t="n"/>
      <c r="V66" s="623" t="n"/>
      <c r="W66" s="624" t="n"/>
      <c r="X66" s="771" t="n"/>
    </row>
    <row r="67" ht="18" customHeight="1" s="562">
      <c r="A67" s="622" t="n"/>
      <c r="B67" s="623" t="n"/>
      <c r="C67" s="624" t="n"/>
      <c r="E67" s="622" t="n"/>
      <c r="F67" s="623" t="n"/>
      <c r="G67" s="624" t="n"/>
      <c r="I67" s="622" t="n"/>
      <c r="J67" s="623" t="n"/>
      <c r="K67" s="624" t="n"/>
      <c r="M67" s="622" t="n"/>
      <c r="N67" s="623" t="n"/>
      <c r="O67" s="624" t="n"/>
      <c r="Q67" s="622" t="n"/>
      <c r="R67" s="623" t="n"/>
      <c r="S67" s="624" t="n"/>
      <c r="T67" s="771" t="n"/>
      <c r="U67" s="622" t="n"/>
      <c r="V67" s="623" t="n"/>
      <c r="W67" s="624" t="n"/>
      <c r="X67" s="771" t="n"/>
    </row>
    <row r="68" ht="18" customHeight="1" s="562">
      <c r="A68" s="622" t="n"/>
      <c r="B68" s="623" t="n"/>
      <c r="C68" s="624" t="n"/>
      <c r="E68" s="622" t="n"/>
      <c r="F68" s="623" t="n"/>
      <c r="G68" s="624" t="n"/>
      <c r="I68" s="622" t="n"/>
      <c r="J68" s="623" t="n"/>
      <c r="K68" s="624" t="n"/>
      <c r="M68" s="622" t="n"/>
      <c r="N68" s="623" t="n"/>
      <c r="O68" s="624" t="n"/>
      <c r="Q68" s="622" t="n"/>
      <c r="R68" s="623" t="n"/>
      <c r="S68" s="624" t="n"/>
      <c r="T68" s="771" t="n"/>
      <c r="U68" s="622" t="n"/>
      <c r="V68" s="623" t="n"/>
      <c r="W68" s="624" t="n"/>
      <c r="X68" s="771" t="n"/>
    </row>
    <row r="69" ht="18" customHeight="1" s="562">
      <c r="A69" s="622" t="n"/>
      <c r="B69" s="623" t="n"/>
      <c r="C69" s="624" t="n"/>
      <c r="E69" s="622" t="n"/>
      <c r="F69" s="623" t="n"/>
      <c r="G69" s="624" t="n"/>
      <c r="I69" s="622" t="n"/>
      <c r="J69" s="623" t="n"/>
      <c r="K69" s="624" t="n"/>
      <c r="M69" s="622" t="n"/>
      <c r="N69" s="623" t="n"/>
      <c r="O69" s="624" t="n"/>
      <c r="Q69" s="622" t="n"/>
      <c r="R69" s="623" t="n"/>
      <c r="S69" s="624" t="n"/>
      <c r="T69" s="771" t="n"/>
      <c r="U69" s="622" t="n"/>
      <c r="V69" s="623" t="n"/>
      <c r="W69" s="624" t="n"/>
      <c r="X69" s="771" t="n"/>
    </row>
    <row r="70" ht="18" customHeight="1" s="562">
      <c r="A70" s="622" t="n"/>
      <c r="B70" s="623" t="n"/>
      <c r="C70" s="624" t="n"/>
      <c r="E70" s="622" t="n"/>
      <c r="F70" s="623" t="n"/>
      <c r="G70" s="624" t="n"/>
      <c r="I70" s="622" t="n"/>
      <c r="J70" s="623" t="n"/>
      <c r="K70" s="624" t="n"/>
      <c r="M70" s="622" t="n"/>
      <c r="N70" s="623" t="n"/>
      <c r="O70" s="624" t="n"/>
      <c r="Q70" s="622" t="n"/>
      <c r="R70" s="623" t="n"/>
      <c r="S70" s="624" t="n"/>
      <c r="T70" s="771" t="n"/>
      <c r="U70" s="622" t="n"/>
      <c r="V70" s="623" t="n"/>
      <c r="W70" s="624" t="n"/>
      <c r="X70" s="771" t="n"/>
    </row>
    <row r="71" ht="18" customHeight="1" s="562">
      <c r="A71" s="622" t="n"/>
      <c r="B71" s="623" t="n"/>
      <c r="C71" s="624" t="n"/>
      <c r="E71" s="622" t="n"/>
      <c r="F71" s="623" t="n"/>
      <c r="G71" s="624" t="n"/>
      <c r="I71" s="622" t="n"/>
      <c r="J71" s="623" t="n"/>
      <c r="K71" s="624" t="n"/>
      <c r="M71" s="622" t="n"/>
      <c r="N71" s="623" t="n"/>
      <c r="O71" s="624" t="n"/>
      <c r="Q71" s="622" t="n"/>
      <c r="R71" s="623" t="n"/>
      <c r="S71" s="624" t="n"/>
      <c r="T71" s="771" t="n"/>
      <c r="U71" s="622" t="n"/>
      <c r="V71" s="623" t="n"/>
      <c r="W71" s="624" t="n"/>
      <c r="X71" s="771" t="n"/>
    </row>
    <row r="72" ht="18" customHeight="1" s="562">
      <c r="A72" s="622" t="n"/>
      <c r="B72" s="623" t="n"/>
      <c r="C72" s="624" t="n"/>
      <c r="E72" s="622" t="n"/>
      <c r="F72" s="623" t="n"/>
      <c r="G72" s="624" t="n"/>
      <c r="I72" s="622" t="n"/>
      <c r="J72" s="623" t="n"/>
      <c r="K72" s="624" t="n"/>
      <c r="M72" s="622" t="n"/>
      <c r="N72" s="623" t="n"/>
      <c r="O72" s="624" t="n"/>
      <c r="Q72" s="622" t="n"/>
      <c r="R72" s="623" t="n"/>
      <c r="S72" s="624" t="n"/>
      <c r="T72" s="771" t="n"/>
      <c r="U72" s="622" t="n"/>
      <c r="V72" s="623" t="n"/>
      <c r="W72" s="624" t="n"/>
      <c r="X72" s="771" t="n"/>
    </row>
    <row r="73" ht="18.75" customHeight="1" s="562">
      <c r="A73" s="622" t="n"/>
      <c r="B73" s="623" t="n"/>
      <c r="C73" s="624" t="n"/>
      <c r="E73" s="622" t="n"/>
      <c r="F73" s="623" t="n"/>
      <c r="G73" s="624" t="n"/>
      <c r="I73" s="622" t="n"/>
      <c r="J73" s="623" t="n"/>
      <c r="K73" s="624" t="n"/>
      <c r="M73" s="622" t="n"/>
      <c r="N73" s="623" t="n"/>
      <c r="O73" s="624" t="n"/>
      <c r="Q73" s="622" t="n"/>
      <c r="R73" s="623" t="n"/>
      <c r="S73" s="624" t="n"/>
      <c r="T73" s="771" t="n"/>
      <c r="U73" s="622" t="n"/>
      <c r="V73" s="623" t="n"/>
      <c r="W73" s="624" t="n"/>
      <c r="X73" s="771" t="n"/>
    </row>
    <row r="74" ht="18.75" customHeight="1" s="562">
      <c r="A74" s="644" t="inlineStr">
        <is>
          <t xml:space="preserve">Total Expense </t>
        </is>
      </c>
      <c r="B74" s="637" t="n"/>
      <c r="C74" s="645" t="n"/>
      <c r="E74" s="644" t="inlineStr">
        <is>
          <t xml:space="preserve">Total Expense </t>
        </is>
      </c>
      <c r="F74" s="637" t="n"/>
      <c r="G74" s="645" t="n"/>
      <c r="I74" s="644" t="inlineStr">
        <is>
          <t xml:space="preserve">Total Expense </t>
        </is>
      </c>
      <c r="J74" s="637" t="n"/>
      <c r="K74" s="645" t="n"/>
      <c r="M74" s="644" t="inlineStr">
        <is>
          <t xml:space="preserve">Total Expense </t>
        </is>
      </c>
      <c r="N74" s="637" t="n"/>
      <c r="O74" s="645" t="n"/>
      <c r="Q74" s="644" t="inlineStr">
        <is>
          <t xml:space="preserve">Total Expense </t>
        </is>
      </c>
      <c r="R74" s="637" t="n"/>
      <c r="S74" s="645" t="n"/>
      <c r="T74" s="771" t="n"/>
      <c r="U74" s="644" t="inlineStr">
        <is>
          <t xml:space="preserve">Total Expense </t>
        </is>
      </c>
      <c r="V74" s="637" t="n"/>
      <c r="W74" s="645" t="n"/>
      <c r="X74" s="771" t="n"/>
    </row>
    <row r="75" ht="18.75" customHeight="1" s="562">
      <c r="A75" s="646" t="inlineStr">
        <is>
          <t xml:space="preserve">Income - Expense </t>
        </is>
      </c>
      <c r="B75" s="637" t="n"/>
      <c r="C75" s="647" t="n"/>
      <c r="E75" s="646" t="inlineStr">
        <is>
          <t xml:space="preserve">Income - Expense </t>
        </is>
      </c>
      <c r="F75" s="637" t="n"/>
      <c r="G75" s="647" t="n"/>
      <c r="I75" s="646" t="inlineStr">
        <is>
          <t xml:space="preserve">Income - Expense </t>
        </is>
      </c>
      <c r="J75" s="637" t="n"/>
      <c r="K75" s="647" t="n"/>
      <c r="M75" s="646" t="inlineStr">
        <is>
          <t xml:space="preserve">Income - Expense </t>
        </is>
      </c>
      <c r="N75" s="637" t="n"/>
      <c r="O75" s="647" t="n"/>
      <c r="Q75" s="646" t="inlineStr">
        <is>
          <t xml:space="preserve">Income - Expense </t>
        </is>
      </c>
      <c r="R75" s="637" t="n"/>
      <c r="S75" s="647" t="n"/>
      <c r="T75" s="771" t="n"/>
      <c r="U75" s="646" t="inlineStr">
        <is>
          <t xml:space="preserve">Income - Expense </t>
        </is>
      </c>
      <c r="V75" s="637" t="n"/>
      <c r="W75" s="647" t="n"/>
      <c r="X75" s="771" t="n"/>
    </row>
    <row r="77" ht="18.75" customHeight="1" s="562">
      <c r="A77" s="615" t="inlineStr">
        <is>
          <t xml:space="preserve">Kotie- Rental </t>
        </is>
      </c>
      <c r="B77" s="613" t="n"/>
      <c r="C77" s="614" t="n"/>
      <c r="E77" s="615" t="inlineStr">
        <is>
          <t>Scholtz</t>
        </is>
      </c>
      <c r="F77" s="613" t="n"/>
      <c r="G77" s="614" t="n"/>
      <c r="I77" s="909" t="inlineStr">
        <is>
          <t xml:space="preserve">Maria Burgum- Weekly </t>
        </is>
      </c>
      <c r="J77" s="613" t="n"/>
      <c r="K77" s="614" t="n"/>
      <c r="M77" s="615" t="inlineStr">
        <is>
          <t xml:space="preserve">Jean Place </t>
        </is>
      </c>
      <c r="N77" s="613" t="n"/>
      <c r="O77" s="614" t="n"/>
      <c r="Q77" s="615" t="inlineStr">
        <is>
          <t xml:space="preserve">Roux- Esme </t>
        </is>
      </c>
      <c r="R77" s="613" t="n"/>
      <c r="S77" s="614" t="n"/>
      <c r="U77" s="615" t="inlineStr">
        <is>
          <t>Carolina Richards</t>
        </is>
      </c>
      <c r="V77" s="613" t="n"/>
      <c r="W77" s="614" t="n"/>
    </row>
    <row r="78" ht="18.75" customHeight="1" s="562">
      <c r="A78" s="619" t="inlineStr">
        <is>
          <t xml:space="preserve">Income </t>
        </is>
      </c>
      <c r="B78" s="617" t="n"/>
      <c r="C78" s="618" t="n"/>
      <c r="E78" s="619" t="inlineStr">
        <is>
          <t xml:space="preserve">Income </t>
        </is>
      </c>
      <c r="F78" s="617" t="n"/>
      <c r="G78" s="618" t="n"/>
      <c r="I78" s="619" t="inlineStr">
        <is>
          <t xml:space="preserve">Income </t>
        </is>
      </c>
      <c r="J78" s="617" t="n"/>
      <c r="K78" s="618" t="n"/>
      <c r="M78" s="619" t="inlineStr">
        <is>
          <t xml:space="preserve">Income </t>
        </is>
      </c>
      <c r="N78" s="617" t="n"/>
      <c r="O78" s="618" t="n"/>
      <c r="Q78" s="619" t="inlineStr">
        <is>
          <t xml:space="preserve">Income </t>
        </is>
      </c>
      <c r="R78" s="617" t="n"/>
      <c r="S78" s="618" t="n"/>
      <c r="U78" s="619" t="inlineStr">
        <is>
          <t xml:space="preserve">Income </t>
        </is>
      </c>
      <c r="V78" s="617" t="n"/>
      <c r="W78" s="618" t="n"/>
    </row>
    <row r="79" ht="18" customHeight="1" s="562">
      <c r="A79" s="622" t="inlineStr">
        <is>
          <t>Date:</t>
        </is>
      </c>
      <c r="B79" s="623" t="n"/>
      <c r="C79" s="624" t="inlineStr">
        <is>
          <t xml:space="preserve">Payment </t>
        </is>
      </c>
      <c r="E79" s="622" t="inlineStr">
        <is>
          <t>Date:</t>
        </is>
      </c>
      <c r="F79" s="623" t="n"/>
      <c r="G79" s="624" t="inlineStr">
        <is>
          <t xml:space="preserve">Payment </t>
        </is>
      </c>
      <c r="I79" s="622" t="inlineStr">
        <is>
          <t>Date:</t>
        </is>
      </c>
      <c r="J79" s="623" t="n"/>
      <c r="K79" s="624" t="inlineStr">
        <is>
          <t xml:space="preserve">Payment </t>
        </is>
      </c>
      <c r="M79" s="622" t="inlineStr">
        <is>
          <t>Date:</t>
        </is>
      </c>
      <c r="N79" s="623" t="n"/>
      <c r="O79" s="624" t="inlineStr">
        <is>
          <t xml:space="preserve">Payment </t>
        </is>
      </c>
      <c r="Q79" s="622" t="inlineStr">
        <is>
          <t>Date:</t>
        </is>
      </c>
      <c r="R79" s="623" t="n"/>
      <c r="S79" s="624" t="inlineStr">
        <is>
          <t xml:space="preserve">Payment </t>
        </is>
      </c>
      <c r="U79" s="622" t="inlineStr">
        <is>
          <t>Date:</t>
        </is>
      </c>
      <c r="V79" s="623" t="n"/>
      <c r="W79" s="624" t="inlineStr">
        <is>
          <t xml:space="preserve">Payment </t>
        </is>
      </c>
    </row>
    <row r="80" ht="18" customHeight="1" s="562">
      <c r="A80" s="862" t="n">
        <v>46054</v>
      </c>
      <c r="B80" s="863" t="inlineStr">
        <is>
          <t xml:space="preserve">invoiced </t>
        </is>
      </c>
      <c r="C80" s="627" t="n">
        <v>600</v>
      </c>
      <c r="E80" s="862" t="n">
        <v>46058</v>
      </c>
      <c r="F80" s="863" t="inlineStr">
        <is>
          <t xml:space="preserve">invoiced </t>
        </is>
      </c>
      <c r="G80" s="627" t="n">
        <v>3000</v>
      </c>
      <c r="I80" s="862" t="n">
        <v>46060</v>
      </c>
      <c r="J80" s="863" t="inlineStr">
        <is>
          <t xml:space="preserve">invoiced </t>
        </is>
      </c>
      <c r="K80" s="627" t="n">
        <v>2250</v>
      </c>
      <c r="M80" s="862" t="n">
        <v>46060</v>
      </c>
      <c r="N80" s="863" t="inlineStr">
        <is>
          <t xml:space="preserve">invoiced </t>
        </is>
      </c>
      <c r="O80" s="627" t="n">
        <v>4000</v>
      </c>
      <c r="Q80" s="862" t="n">
        <v>46062</v>
      </c>
      <c r="R80" s="863" t="inlineStr">
        <is>
          <t xml:space="preserve">invoiced </t>
        </is>
      </c>
      <c r="S80" s="627" t="n">
        <v>8250</v>
      </c>
      <c r="U80" s="862" t="n">
        <v>46063</v>
      </c>
      <c r="V80" s="863" t="inlineStr">
        <is>
          <t xml:space="preserve">invoiced </t>
        </is>
      </c>
      <c r="W80" s="627" t="n">
        <v>9750</v>
      </c>
    </row>
    <row r="81" ht="18" customHeight="1" s="562">
      <c r="A81" s="627" t="n"/>
      <c r="B81" s="627" t="n"/>
      <c r="C81" s="627" t="n"/>
      <c r="E81" s="627" t="n"/>
      <c r="F81" s="627" t="n"/>
      <c r="G81" s="627" t="n"/>
      <c r="I81" s="862" t="n">
        <v>46066</v>
      </c>
      <c r="J81" s="863" t="inlineStr">
        <is>
          <t xml:space="preserve">invoiced </t>
        </is>
      </c>
      <c r="K81" s="627" t="n">
        <v>2450</v>
      </c>
      <c r="M81" s="862" t="n">
        <v>46066</v>
      </c>
      <c r="N81" s="863" t="inlineStr">
        <is>
          <t xml:space="preserve">invoiced </t>
        </is>
      </c>
      <c r="O81" s="627" t="n">
        <v>2400</v>
      </c>
      <c r="Q81" s="862" t="n"/>
      <c r="R81" s="627" t="n"/>
      <c r="S81" s="627" t="n"/>
      <c r="U81" s="862" t="n">
        <v>46071</v>
      </c>
      <c r="V81" s="863" t="inlineStr">
        <is>
          <t xml:space="preserve">invoiced </t>
        </is>
      </c>
      <c r="W81" s="627" t="n">
        <v>1500</v>
      </c>
    </row>
    <row r="82" ht="18" customHeight="1" s="562">
      <c r="A82" s="627" t="n"/>
      <c r="B82" s="627" t="n"/>
      <c r="C82" s="627" t="n"/>
      <c r="E82" s="627" t="n"/>
      <c r="F82" s="627" t="n"/>
      <c r="G82" s="627" t="n"/>
      <c r="I82" s="862" t="n">
        <v>46076</v>
      </c>
      <c r="J82" s="863" t="inlineStr">
        <is>
          <t xml:space="preserve">invoiced </t>
        </is>
      </c>
      <c r="K82" s="627" t="n">
        <v>2250</v>
      </c>
      <c r="M82" s="862" t="n">
        <v>46074</v>
      </c>
      <c r="N82" s="863" t="inlineStr">
        <is>
          <t xml:space="preserve">invoiced </t>
        </is>
      </c>
      <c r="O82" s="627" t="n">
        <v>3200</v>
      </c>
      <c r="Q82" s="862" t="n"/>
      <c r="R82" s="627" t="n"/>
      <c r="S82" s="627" t="n"/>
      <c r="U82" s="862" t="n">
        <v>46078</v>
      </c>
      <c r="V82" s="627" t="inlineStr">
        <is>
          <t xml:space="preserve">invoiced </t>
        </is>
      </c>
      <c r="W82" s="627" t="n">
        <v>750</v>
      </c>
    </row>
    <row r="83" ht="18" customHeight="1" s="562">
      <c r="A83" s="627" t="n"/>
      <c r="B83" s="627" t="n"/>
      <c r="C83" s="627" t="n"/>
      <c r="E83" s="627" t="n"/>
      <c r="F83" s="627" t="n"/>
      <c r="G83" s="627" t="n"/>
      <c r="I83" s="862" t="n">
        <v>46079</v>
      </c>
      <c r="J83" s="627" t="inlineStr">
        <is>
          <t xml:space="preserve">invoiced </t>
        </is>
      </c>
      <c r="K83" s="627" t="n">
        <v>1050</v>
      </c>
      <c r="M83" s="914" t="n"/>
      <c r="N83" s="627" t="n"/>
      <c r="O83" s="627" t="n"/>
      <c r="Q83" s="914" t="n"/>
      <c r="R83" s="627" t="n"/>
      <c r="S83" s="627" t="n"/>
      <c r="U83" s="914" t="n"/>
      <c r="V83" s="627" t="n"/>
      <c r="W83" s="627" t="n"/>
    </row>
    <row r="84" ht="18.75" customHeight="1" s="562">
      <c r="A84" s="627" t="n"/>
      <c r="B84" s="627" t="n"/>
      <c r="C84" s="639" t="n"/>
      <c r="E84" s="627" t="n"/>
      <c r="F84" s="627" t="n"/>
      <c r="G84" s="639" t="n"/>
      <c r="I84" s="914" t="n"/>
      <c r="J84" s="627" t="n"/>
      <c r="K84" s="639" t="n"/>
      <c r="M84" s="914" t="n"/>
      <c r="N84" s="627" t="n"/>
      <c r="O84" s="639" t="n"/>
      <c r="Q84" s="914" t="n"/>
      <c r="R84" s="627" t="n"/>
      <c r="S84" s="639" t="n"/>
      <c r="U84" s="914" t="n"/>
      <c r="V84" s="627" t="n"/>
      <c r="W84" s="639" t="n"/>
    </row>
    <row r="85" ht="18.75" customHeight="1" s="562">
      <c r="A85" s="627" t="n"/>
      <c r="B85" s="915" t="n"/>
      <c r="C85" s="631">
        <f>SUM(C80:C84)</f>
        <v/>
      </c>
      <c r="E85" s="627" t="n"/>
      <c r="F85" s="915" t="n"/>
      <c r="G85" s="631">
        <f>SUM(G80:G84)</f>
        <v/>
      </c>
      <c r="I85" s="914" t="n"/>
      <c r="J85" s="915" t="n"/>
      <c r="K85" s="631">
        <f>SUM(K80:K84)</f>
        <v/>
      </c>
      <c r="M85" s="914" t="n"/>
      <c r="N85" s="915" t="n"/>
      <c r="O85" s="631">
        <f>SUM(O80:O84)</f>
        <v/>
      </c>
      <c r="Q85" s="914" t="n"/>
      <c r="R85" s="915" t="n"/>
      <c r="S85" s="631">
        <f>SUM(S80:S84)</f>
        <v/>
      </c>
      <c r="U85" s="914" t="n"/>
      <c r="V85" s="915" t="n"/>
      <c r="W85" s="631">
        <f>SUM(W80:W84)</f>
        <v/>
      </c>
    </row>
    <row r="86" ht="18.75" customHeight="1" s="562">
      <c r="A86" s="643" t="inlineStr">
        <is>
          <t xml:space="preserve">Expenses </t>
        </is>
      </c>
      <c r="B86" s="617" t="n"/>
      <c r="C86" s="618" t="n"/>
      <c r="E86" s="643" t="inlineStr">
        <is>
          <t xml:space="preserve">Expenses </t>
        </is>
      </c>
      <c r="F86" s="617" t="n"/>
      <c r="G86" s="618" t="n"/>
      <c r="I86" s="643" t="inlineStr">
        <is>
          <t xml:space="preserve">Expenses </t>
        </is>
      </c>
      <c r="J86" s="617" t="n"/>
      <c r="K86" s="618" t="n"/>
      <c r="M86" s="643" t="inlineStr">
        <is>
          <t xml:space="preserve">Expenses </t>
        </is>
      </c>
      <c r="N86" s="617" t="n"/>
      <c r="O86" s="618" t="n"/>
      <c r="Q86" s="643" t="inlineStr">
        <is>
          <t xml:space="preserve">Expenses </t>
        </is>
      </c>
      <c r="R86" s="617" t="n"/>
      <c r="S86" s="618" t="n"/>
      <c r="U86" s="643" t="inlineStr">
        <is>
          <t xml:space="preserve">Expenses </t>
        </is>
      </c>
      <c r="V86" s="617" t="n"/>
      <c r="W86" s="618" t="n"/>
    </row>
    <row r="87" ht="18" customHeight="1" s="562">
      <c r="A87" s="622" t="inlineStr">
        <is>
          <t>Date:</t>
        </is>
      </c>
      <c r="B87" s="623" t="inlineStr">
        <is>
          <t xml:space="preserve">Expense Name </t>
        </is>
      </c>
      <c r="C87" s="624" t="inlineStr">
        <is>
          <t xml:space="preserve">Amount </t>
        </is>
      </c>
      <c r="E87" s="622" t="inlineStr">
        <is>
          <t>Date:</t>
        </is>
      </c>
      <c r="F87" s="623" t="inlineStr">
        <is>
          <t xml:space="preserve">Expense Name </t>
        </is>
      </c>
      <c r="G87" s="624" t="inlineStr">
        <is>
          <t xml:space="preserve">Amount </t>
        </is>
      </c>
      <c r="I87" s="622" t="inlineStr">
        <is>
          <t>Date:</t>
        </is>
      </c>
      <c r="J87" s="623" t="inlineStr">
        <is>
          <t xml:space="preserve">Expense Name </t>
        </is>
      </c>
      <c r="K87" s="624" t="inlineStr">
        <is>
          <t xml:space="preserve">Amount </t>
        </is>
      </c>
      <c r="M87" s="622" t="inlineStr">
        <is>
          <t>Date:</t>
        </is>
      </c>
      <c r="N87" s="623" t="inlineStr">
        <is>
          <t xml:space="preserve">Expense Name </t>
        </is>
      </c>
      <c r="O87" s="624" t="inlineStr">
        <is>
          <t xml:space="preserve">Amount </t>
        </is>
      </c>
      <c r="Q87" s="622" t="inlineStr">
        <is>
          <t>Date:</t>
        </is>
      </c>
      <c r="R87" s="623" t="inlineStr">
        <is>
          <t xml:space="preserve">Expense Name </t>
        </is>
      </c>
      <c r="S87" s="624" t="inlineStr">
        <is>
          <t xml:space="preserve">Amount </t>
        </is>
      </c>
      <c r="U87" s="622" t="inlineStr">
        <is>
          <t>Date:</t>
        </is>
      </c>
      <c r="V87" s="623" t="inlineStr">
        <is>
          <t xml:space="preserve">Expense Name </t>
        </is>
      </c>
      <c r="W87" s="624" t="inlineStr">
        <is>
          <t xml:space="preserve">Amount </t>
        </is>
      </c>
    </row>
    <row r="88" ht="18" customHeight="1" s="562">
      <c r="A88" s="625" t="n"/>
      <c r="B88" s="623" t="n"/>
      <c r="C88" s="624" t="n"/>
      <c r="E88" s="625" t="n"/>
      <c r="F88" s="623" t="inlineStr">
        <is>
          <t>Martha Mashishi</t>
        </is>
      </c>
      <c r="G88" s="624" t="n"/>
      <c r="I88" s="625" t="n"/>
      <c r="J88" s="623" t="inlineStr">
        <is>
          <t>Martha Sone</t>
        </is>
      </c>
      <c r="K88" s="624" t="n"/>
      <c r="M88" s="625" t="n"/>
      <c r="N88" s="623" t="inlineStr">
        <is>
          <t>Nipho</t>
        </is>
      </c>
      <c r="O88" s="624" t="n"/>
      <c r="Q88" s="625" t="n"/>
      <c r="R88" s="623" t="inlineStr">
        <is>
          <t xml:space="preserve">Julia </t>
        </is>
      </c>
      <c r="S88" s="624" t="n"/>
      <c r="U88" s="625" t="n"/>
      <c r="V88" s="623" t="inlineStr">
        <is>
          <t xml:space="preserve">Julia </t>
        </is>
      </c>
      <c r="W88" s="624" t="n"/>
    </row>
    <row r="89" ht="18" customHeight="1" s="562">
      <c r="A89" s="628" t="n"/>
      <c r="B89" s="623" t="n"/>
      <c r="C89" s="624" t="n"/>
      <c r="E89" s="628" t="n"/>
      <c r="F89" s="623" t="inlineStr">
        <is>
          <t>Mbali</t>
        </is>
      </c>
      <c r="G89" s="624" t="n"/>
      <c r="I89" s="628" t="n"/>
      <c r="J89" s="623" t="inlineStr">
        <is>
          <t>Syliva</t>
        </is>
      </c>
      <c r="K89" s="624" t="n"/>
      <c r="M89" s="628" t="n"/>
      <c r="N89" s="623" t="n"/>
      <c r="O89" s="624" t="n"/>
      <c r="Q89" s="628" t="n"/>
      <c r="R89" s="623" t="n"/>
      <c r="S89" s="624" t="n"/>
      <c r="U89" s="628" t="n"/>
      <c r="V89" s="623" t="n"/>
      <c r="W89" s="624" t="n"/>
    </row>
    <row r="90" ht="18" customHeight="1" s="562">
      <c r="A90" s="628" t="n"/>
      <c r="B90" s="623" t="n"/>
      <c r="C90" s="624" t="n"/>
      <c r="E90" s="628" t="n"/>
      <c r="F90" s="623" t="n"/>
      <c r="G90" s="624" t="n"/>
      <c r="I90" s="628" t="n"/>
      <c r="J90" s="623" t="n"/>
      <c r="K90" s="624" t="n"/>
      <c r="M90" s="628" t="n"/>
      <c r="N90" s="623" t="n"/>
      <c r="O90" s="624" t="n"/>
      <c r="Q90" s="628" t="n"/>
      <c r="R90" s="623" t="n"/>
      <c r="S90" s="624" t="n"/>
      <c r="U90" s="628" t="n"/>
      <c r="V90" s="623" t="n"/>
      <c r="W90" s="624" t="n"/>
    </row>
    <row r="91" ht="18" customHeight="1" s="562">
      <c r="A91" s="622" t="n"/>
      <c r="B91" s="623" t="n"/>
      <c r="C91" s="624" t="n"/>
      <c r="E91" s="622" t="n"/>
      <c r="F91" s="623" t="n"/>
      <c r="G91" s="624" t="n"/>
      <c r="I91" s="622" t="n"/>
      <c r="J91" s="623" t="n"/>
      <c r="K91" s="624" t="n"/>
      <c r="M91" s="622" t="n"/>
      <c r="N91" s="623" t="n"/>
      <c r="O91" s="624" t="n"/>
      <c r="Q91" s="622" t="n"/>
      <c r="R91" s="623" t="n"/>
      <c r="S91" s="624" t="n"/>
      <c r="U91" s="622" t="n"/>
      <c r="V91" s="623" t="n"/>
      <c r="W91" s="624" t="n"/>
    </row>
    <row r="92" ht="18" customHeight="1" s="562">
      <c r="A92" s="622" t="n"/>
      <c r="B92" s="623" t="n"/>
      <c r="C92" s="624" t="n"/>
      <c r="E92" s="622" t="n"/>
      <c r="F92" s="623" t="n"/>
      <c r="G92" s="624" t="n"/>
      <c r="I92" s="622" t="n"/>
      <c r="J92" s="623" t="n"/>
      <c r="K92" s="624" t="n"/>
      <c r="M92" s="622" t="n"/>
      <c r="N92" s="623" t="n"/>
      <c r="O92" s="624" t="n"/>
      <c r="Q92" s="622" t="n"/>
      <c r="R92" s="623" t="n"/>
      <c r="S92" s="624" t="n"/>
      <c r="U92" s="622" t="n"/>
      <c r="V92" s="623" t="n"/>
      <c r="W92" s="624" t="n"/>
    </row>
    <row r="93" ht="18" customHeight="1" s="562">
      <c r="A93" s="622" t="n"/>
      <c r="B93" s="623" t="n"/>
      <c r="C93" s="624" t="n"/>
      <c r="E93" s="622" t="n"/>
      <c r="F93" s="623" t="n"/>
      <c r="G93" s="624" t="n"/>
      <c r="I93" s="622" t="n"/>
      <c r="J93" s="623" t="n"/>
      <c r="K93" s="624" t="n"/>
      <c r="M93" s="622" t="n"/>
      <c r="N93" s="623" t="n"/>
      <c r="O93" s="624" t="n"/>
      <c r="Q93" s="622" t="n"/>
      <c r="R93" s="623" t="n"/>
      <c r="S93" s="624" t="n"/>
      <c r="U93" s="622" t="n"/>
      <c r="V93" s="623" t="n"/>
      <c r="W93" s="624" t="n"/>
    </row>
    <row r="94" ht="18" customHeight="1" s="562">
      <c r="A94" s="622" t="n"/>
      <c r="B94" s="623" t="n"/>
      <c r="C94" s="624" t="n"/>
      <c r="E94" s="622" t="n"/>
      <c r="F94" s="623" t="n"/>
      <c r="G94" s="624" t="n"/>
      <c r="I94" s="622" t="n"/>
      <c r="J94" s="623" t="n"/>
      <c r="K94" s="624" t="n"/>
      <c r="M94" s="622" t="n"/>
      <c r="N94" s="623" t="n"/>
      <c r="O94" s="624" t="n"/>
      <c r="Q94" s="622" t="n"/>
      <c r="R94" s="623" t="n"/>
      <c r="S94" s="624" t="n"/>
      <c r="U94" s="622" t="n"/>
      <c r="V94" s="623" t="n"/>
      <c r="W94" s="624" t="n"/>
    </row>
    <row r="95" ht="18" customHeight="1" s="562">
      <c r="A95" s="622" t="n"/>
      <c r="B95" s="623" t="n"/>
      <c r="C95" s="624" t="n"/>
      <c r="E95" s="622" t="n"/>
      <c r="F95" s="623" t="n"/>
      <c r="G95" s="624" t="n"/>
      <c r="I95" s="622" t="n"/>
      <c r="J95" s="623" t="n"/>
      <c r="K95" s="624" t="n"/>
      <c r="M95" s="622" t="n"/>
      <c r="N95" s="623" t="n"/>
      <c r="O95" s="624" t="n"/>
      <c r="Q95" s="622" t="n"/>
      <c r="R95" s="623" t="n"/>
      <c r="S95" s="624" t="n"/>
      <c r="U95" s="622" t="n"/>
      <c r="V95" s="623" t="n"/>
      <c r="W95" s="624" t="n"/>
    </row>
    <row r="96" ht="18" customHeight="1" s="562">
      <c r="A96" s="622" t="n"/>
      <c r="B96" s="623" t="n"/>
      <c r="C96" s="624" t="n"/>
      <c r="E96" s="622" t="n"/>
      <c r="F96" s="623" t="n"/>
      <c r="G96" s="624" t="n"/>
      <c r="I96" s="622" t="n"/>
      <c r="J96" s="623" t="n"/>
      <c r="K96" s="624" t="n"/>
      <c r="M96" s="622" t="n"/>
      <c r="N96" s="623" t="n"/>
      <c r="O96" s="624" t="n"/>
      <c r="Q96" s="622" t="n"/>
      <c r="R96" s="623" t="n"/>
      <c r="S96" s="624" t="n"/>
      <c r="U96" s="622" t="n"/>
      <c r="V96" s="623" t="n"/>
      <c r="W96" s="624" t="n"/>
    </row>
    <row r="97" ht="18" customHeight="1" s="562">
      <c r="A97" s="622" t="n"/>
      <c r="B97" s="623" t="n"/>
      <c r="C97" s="624" t="n"/>
      <c r="E97" s="622" t="n"/>
      <c r="F97" s="623" t="n"/>
      <c r="G97" s="624" t="n"/>
      <c r="I97" s="622" t="n"/>
      <c r="J97" s="623" t="n"/>
      <c r="K97" s="624" t="n"/>
      <c r="M97" s="622" t="n"/>
      <c r="N97" s="623" t="n"/>
      <c r="O97" s="624" t="n"/>
      <c r="Q97" s="622" t="n"/>
      <c r="R97" s="623" t="n"/>
      <c r="S97" s="624" t="n"/>
      <c r="U97" s="622" t="n"/>
      <c r="V97" s="623" t="n"/>
      <c r="W97" s="624" t="n"/>
    </row>
    <row r="98" ht="18" customHeight="1" s="562">
      <c r="A98" s="622" t="n"/>
      <c r="B98" s="623" t="n"/>
      <c r="C98" s="624" t="n"/>
      <c r="E98" s="622" t="n"/>
      <c r="F98" s="623" t="n"/>
      <c r="G98" s="624" t="n"/>
      <c r="I98" s="622" t="n"/>
      <c r="J98" s="623" t="n"/>
      <c r="K98" s="624" t="n"/>
      <c r="M98" s="622" t="n"/>
      <c r="N98" s="623" t="n"/>
      <c r="O98" s="624" t="n"/>
      <c r="Q98" s="622" t="n"/>
      <c r="R98" s="623" t="n"/>
      <c r="S98" s="624" t="n"/>
      <c r="U98" s="622" t="n"/>
      <c r="V98" s="623" t="n"/>
      <c r="W98" s="624" t="n"/>
    </row>
    <row r="99" ht="18.75" customHeight="1" s="562">
      <c r="A99" s="622" t="n"/>
      <c r="B99" s="623" t="n"/>
      <c r="C99" s="624" t="n"/>
      <c r="E99" s="622" t="n"/>
      <c r="F99" s="623" t="n"/>
      <c r="G99" s="624" t="n"/>
      <c r="I99" s="622" t="n"/>
      <c r="J99" s="623" t="n"/>
      <c r="K99" s="624" t="n"/>
      <c r="M99" s="622" t="n"/>
      <c r="N99" s="623" t="n"/>
      <c r="O99" s="624" t="n"/>
      <c r="Q99" s="622" t="n"/>
      <c r="R99" s="623" t="n"/>
      <c r="S99" s="624" t="n"/>
      <c r="U99" s="622" t="n"/>
      <c r="V99" s="623" t="n"/>
      <c r="W99" s="624" t="n"/>
    </row>
    <row r="100" ht="18.75" customHeight="1" s="562">
      <c r="A100" s="644" t="inlineStr">
        <is>
          <t xml:space="preserve">Total Expense </t>
        </is>
      </c>
      <c r="B100" s="637" t="n"/>
      <c r="C100" s="645" t="n"/>
      <c r="E100" s="644" t="inlineStr">
        <is>
          <t xml:space="preserve">Total Expense </t>
        </is>
      </c>
      <c r="F100" s="637" t="n"/>
      <c r="G100" s="645" t="n"/>
      <c r="I100" s="644" t="inlineStr">
        <is>
          <t xml:space="preserve">Total Expense </t>
        </is>
      </c>
      <c r="J100" s="637" t="n"/>
      <c r="K100" s="645" t="n"/>
      <c r="M100" s="644" t="inlineStr">
        <is>
          <t xml:space="preserve">Total Expense </t>
        </is>
      </c>
      <c r="N100" s="637" t="n"/>
      <c r="O100" s="645" t="n"/>
      <c r="Q100" s="644" t="inlineStr">
        <is>
          <t xml:space="preserve">Total Expense </t>
        </is>
      </c>
      <c r="R100" s="637" t="n"/>
      <c r="S100" s="645" t="n"/>
      <c r="U100" s="644" t="inlineStr">
        <is>
          <t xml:space="preserve">Total Expense </t>
        </is>
      </c>
      <c r="V100" s="637" t="n"/>
      <c r="W100" s="645" t="n"/>
    </row>
    <row r="101" ht="18.75" customHeight="1" s="562">
      <c r="A101" s="646" t="inlineStr">
        <is>
          <t xml:space="preserve">Income - Expense </t>
        </is>
      </c>
      <c r="B101" s="637" t="n"/>
      <c r="C101" s="647" t="n"/>
      <c r="E101" s="646" t="inlineStr">
        <is>
          <t xml:space="preserve">Income - Expense </t>
        </is>
      </c>
      <c r="F101" s="637" t="n"/>
      <c r="G101" s="647" t="n"/>
      <c r="I101" s="646" t="inlineStr">
        <is>
          <t xml:space="preserve">Income - Expense </t>
        </is>
      </c>
      <c r="J101" s="637" t="n"/>
      <c r="K101" s="647" t="n"/>
      <c r="M101" s="646" t="inlineStr">
        <is>
          <t xml:space="preserve">Income - Expense </t>
        </is>
      </c>
      <c r="N101" s="637" t="n"/>
      <c r="O101" s="647" t="n"/>
      <c r="Q101" s="646" t="inlineStr">
        <is>
          <t xml:space="preserve">Income - Expense </t>
        </is>
      </c>
      <c r="R101" s="637" t="n"/>
      <c r="S101" s="647" t="n"/>
      <c r="U101" s="646" t="inlineStr">
        <is>
          <t xml:space="preserve">Income - Expense </t>
        </is>
      </c>
      <c r="V101" s="637" t="n"/>
      <c r="W101" s="647" t="n"/>
    </row>
    <row r="103" ht="18.75" customHeight="1" s="562">
      <c r="A103" s="615" t="inlineStr">
        <is>
          <t xml:space="preserve">Webb- Sonja </t>
        </is>
      </c>
      <c r="B103" s="613" t="n"/>
      <c r="C103" s="614" t="n"/>
      <c r="E103" s="909" t="inlineStr">
        <is>
          <t xml:space="preserve">Oosthuizen- Weekly </t>
        </is>
      </c>
      <c r="F103" s="613" t="n"/>
      <c r="G103" s="614" t="n"/>
      <c r="I103" s="615" t="inlineStr">
        <is>
          <t>O'Neill</t>
        </is>
      </c>
      <c r="J103" s="613" t="n"/>
      <c r="K103" s="614" t="n"/>
      <c r="M103" s="615" t="inlineStr">
        <is>
          <t xml:space="preserve">De Waal </t>
        </is>
      </c>
      <c r="N103" s="613" t="n"/>
      <c r="O103" s="614" t="n"/>
    </row>
    <row r="104" ht="18.75" customHeight="1" s="562">
      <c r="A104" s="619" t="inlineStr">
        <is>
          <t xml:space="preserve">Income </t>
        </is>
      </c>
      <c r="B104" s="617" t="n"/>
      <c r="C104" s="618" t="n"/>
      <c r="E104" s="619" t="inlineStr">
        <is>
          <t xml:space="preserve">Income </t>
        </is>
      </c>
      <c r="F104" s="617" t="n"/>
      <c r="G104" s="618" t="n"/>
      <c r="I104" s="619" t="inlineStr">
        <is>
          <t xml:space="preserve">Income </t>
        </is>
      </c>
      <c r="J104" s="617" t="n"/>
      <c r="K104" s="618" t="n"/>
      <c r="M104" s="619" t="inlineStr">
        <is>
          <t xml:space="preserve">Income </t>
        </is>
      </c>
      <c r="N104" s="617" t="n"/>
      <c r="O104" s="618" t="n"/>
    </row>
    <row r="105" ht="18" customHeight="1" s="562">
      <c r="A105" s="622" t="inlineStr">
        <is>
          <t>Date:</t>
        </is>
      </c>
      <c r="B105" s="623" t="n"/>
      <c r="C105" s="624" t="inlineStr">
        <is>
          <t xml:space="preserve">Payment </t>
        </is>
      </c>
      <c r="E105" s="622" t="inlineStr">
        <is>
          <t>Date:</t>
        </is>
      </c>
      <c r="F105" s="623" t="n"/>
      <c r="G105" s="624" t="inlineStr">
        <is>
          <t xml:space="preserve">Payment </t>
        </is>
      </c>
      <c r="I105" s="622" t="inlineStr">
        <is>
          <t>Date:</t>
        </is>
      </c>
      <c r="J105" s="623" t="n"/>
      <c r="K105" s="624" t="inlineStr">
        <is>
          <t xml:space="preserve">Payment </t>
        </is>
      </c>
      <c r="M105" s="622" t="inlineStr">
        <is>
          <t>Date:</t>
        </is>
      </c>
      <c r="N105" s="623" t="n"/>
      <c r="O105" s="624" t="inlineStr">
        <is>
          <t xml:space="preserve">Payment </t>
        </is>
      </c>
    </row>
    <row r="106" ht="18" customHeight="1" s="562">
      <c r="A106" s="862" t="n">
        <v>46064</v>
      </c>
      <c r="B106" s="863" t="inlineStr">
        <is>
          <t xml:space="preserve">invoiced </t>
        </is>
      </c>
      <c r="C106" s="627" t="n">
        <v>1450</v>
      </c>
      <c r="E106" s="862" t="n">
        <v>16</v>
      </c>
      <c r="F106" s="863" t="inlineStr">
        <is>
          <t xml:space="preserve">invoiced </t>
        </is>
      </c>
      <c r="G106" s="627" t="n">
        <v>3000</v>
      </c>
      <c r="I106" s="862" t="n">
        <v>46064</v>
      </c>
      <c r="J106" s="863" t="inlineStr">
        <is>
          <t xml:space="preserve">invoiced </t>
        </is>
      </c>
      <c r="K106" s="627" t="n">
        <v>6000</v>
      </c>
      <c r="M106" s="862" t="n">
        <v>46073</v>
      </c>
      <c r="N106" s="863" t="inlineStr">
        <is>
          <t xml:space="preserve">invoiced </t>
        </is>
      </c>
      <c r="O106" s="627" t="n">
        <v>5700</v>
      </c>
    </row>
    <row r="107" ht="18" customHeight="1" s="562">
      <c r="A107" s="862" t="n">
        <v>46078</v>
      </c>
      <c r="B107" s="863" t="inlineStr">
        <is>
          <t xml:space="preserve">invoiced </t>
        </is>
      </c>
      <c r="C107" s="627" t="n">
        <v>1500</v>
      </c>
      <c r="E107" s="862" t="n">
        <v>46075</v>
      </c>
      <c r="F107" s="863" t="inlineStr">
        <is>
          <t xml:space="preserve">invoiced </t>
        </is>
      </c>
      <c r="G107" s="627" t="n">
        <v>3750</v>
      </c>
      <c r="I107" s="627" t="n"/>
      <c r="J107" s="627" t="n"/>
      <c r="K107" s="627" t="n"/>
      <c r="M107" s="862" t="n"/>
      <c r="N107" s="627" t="n"/>
      <c r="O107" s="627" t="n"/>
    </row>
    <row r="108" ht="18" customHeight="1" s="562">
      <c r="A108" s="627" t="n"/>
      <c r="B108" s="627" t="n"/>
      <c r="C108" s="627" t="n"/>
      <c r="E108" s="627" t="n"/>
      <c r="F108" s="627" t="n"/>
      <c r="G108" s="627" t="n"/>
      <c r="I108" s="627" t="n"/>
      <c r="J108" s="627" t="n"/>
      <c r="K108" s="627" t="n"/>
      <c r="M108" s="862" t="n"/>
      <c r="N108" s="627" t="n"/>
      <c r="O108" s="627" t="n"/>
    </row>
    <row r="109" ht="18" customHeight="1" s="562">
      <c r="A109" s="627" t="n"/>
      <c r="B109" s="627" t="n"/>
      <c r="C109" s="627" t="n"/>
      <c r="E109" s="627" t="n"/>
      <c r="F109" s="627" t="n"/>
      <c r="G109" s="627" t="n"/>
      <c r="I109" s="627" t="n"/>
      <c r="J109" s="627" t="n"/>
      <c r="K109" s="627" t="n"/>
      <c r="M109" s="914" t="n"/>
      <c r="N109" s="627" t="n"/>
      <c r="O109" s="627" t="n"/>
    </row>
    <row r="110" ht="18.75" customHeight="1" s="562">
      <c r="A110" s="627" t="n"/>
      <c r="B110" s="627" t="n"/>
      <c r="C110" s="639" t="n"/>
      <c r="E110" s="627" t="n"/>
      <c r="F110" s="627" t="n"/>
      <c r="G110" s="639" t="n"/>
      <c r="I110" s="627" t="n"/>
      <c r="J110" s="627" t="n"/>
      <c r="K110" s="639" t="n"/>
      <c r="M110" s="914" t="n"/>
      <c r="N110" s="627" t="n"/>
      <c r="O110" s="639" t="n"/>
    </row>
    <row r="111" ht="18.75" customHeight="1" s="562">
      <c r="A111" s="627" t="n"/>
      <c r="B111" s="915" t="n"/>
      <c r="C111" s="631">
        <f>SUM(C106:C110)</f>
        <v/>
      </c>
      <c r="E111" s="627" t="n"/>
      <c r="F111" s="915" t="n"/>
      <c r="G111" s="631">
        <f>SUM(G106:G110)</f>
        <v/>
      </c>
      <c r="I111" s="627" t="n"/>
      <c r="J111" s="915" t="n"/>
      <c r="K111" s="631">
        <f>SUM(K106:K110)</f>
        <v/>
      </c>
      <c r="M111" s="914" t="n"/>
      <c r="N111" s="915" t="n"/>
      <c r="O111" s="631">
        <f>SUM(O106:O110)</f>
        <v/>
      </c>
    </row>
    <row r="112" ht="18.75" customHeight="1" s="562">
      <c r="A112" s="643" t="inlineStr">
        <is>
          <t xml:space="preserve">Expenses </t>
        </is>
      </c>
      <c r="B112" s="617" t="n"/>
      <c r="C112" s="618" t="n"/>
      <c r="E112" s="643" t="inlineStr">
        <is>
          <t xml:space="preserve">Expenses </t>
        </is>
      </c>
      <c r="F112" s="617" t="n"/>
      <c r="G112" s="618" t="n"/>
      <c r="I112" s="643" t="inlineStr">
        <is>
          <t xml:space="preserve">Expenses </t>
        </is>
      </c>
      <c r="J112" s="617" t="n"/>
      <c r="K112" s="618" t="n"/>
      <c r="M112" s="643" t="inlineStr">
        <is>
          <t xml:space="preserve">Expenses </t>
        </is>
      </c>
      <c r="N112" s="617" t="n"/>
      <c r="O112" s="618" t="n"/>
    </row>
    <row r="113" ht="18" customHeight="1" s="562">
      <c r="A113" s="622" t="inlineStr">
        <is>
          <t>Date:</t>
        </is>
      </c>
      <c r="B113" s="623" t="inlineStr">
        <is>
          <t xml:space="preserve">Expense Name </t>
        </is>
      </c>
      <c r="C113" s="624" t="inlineStr">
        <is>
          <t xml:space="preserve">Amount </t>
        </is>
      </c>
      <c r="E113" s="622" t="inlineStr">
        <is>
          <t>Date:</t>
        </is>
      </c>
      <c r="F113" s="623" t="inlineStr">
        <is>
          <t xml:space="preserve">Expense Name </t>
        </is>
      </c>
      <c r="G113" s="624" t="inlineStr">
        <is>
          <t xml:space="preserve">Amount </t>
        </is>
      </c>
      <c r="I113" s="622" t="inlineStr">
        <is>
          <t>Date:</t>
        </is>
      </c>
      <c r="J113" s="623" t="inlineStr">
        <is>
          <t xml:space="preserve">Expense Name </t>
        </is>
      </c>
      <c r="K113" s="624" t="inlineStr">
        <is>
          <t xml:space="preserve">Amount </t>
        </is>
      </c>
      <c r="M113" s="622" t="inlineStr">
        <is>
          <t>Date:</t>
        </is>
      </c>
      <c r="N113" s="623" t="inlineStr">
        <is>
          <t xml:space="preserve">Expense Name </t>
        </is>
      </c>
      <c r="O113" s="624" t="inlineStr">
        <is>
          <t xml:space="preserve">Amount </t>
        </is>
      </c>
    </row>
    <row r="114" ht="18" customHeight="1" s="562">
      <c r="A114" s="625" t="n"/>
      <c r="B114" s="623" t="inlineStr">
        <is>
          <t xml:space="preserve">Ruth </t>
        </is>
      </c>
      <c r="C114" s="624" t="n"/>
      <c r="E114" s="625" t="n"/>
      <c r="F114" s="623" t="inlineStr">
        <is>
          <t>Marion</t>
        </is>
      </c>
      <c r="G114" s="624" t="n"/>
      <c r="I114" s="625" t="n"/>
      <c r="J114" s="623" t="inlineStr">
        <is>
          <t xml:space="preserve">Merriam </t>
        </is>
      </c>
      <c r="K114" s="624" t="n"/>
      <c r="M114" s="625" t="n"/>
      <c r="N114" s="623" t="inlineStr">
        <is>
          <t>Merriam</t>
        </is>
      </c>
      <c r="O114" s="624" t="n"/>
    </row>
    <row r="115" ht="18" customHeight="1" s="562">
      <c r="A115" s="628" t="n"/>
      <c r="B115" s="623" t="n"/>
      <c r="C115" s="624" t="n"/>
      <c r="E115" s="628" t="n"/>
      <c r="F115" s="623" t="inlineStr">
        <is>
          <t>Sara</t>
        </is>
      </c>
      <c r="G115" s="624" t="n"/>
      <c r="I115" s="628" t="n"/>
      <c r="J115" s="623" t="n"/>
      <c r="K115" s="624" t="n"/>
      <c r="M115" s="628" t="n"/>
      <c r="N115" s="623" t="n"/>
      <c r="O115" s="624" t="n"/>
    </row>
    <row r="116" ht="18" customHeight="1" s="562">
      <c r="A116" s="628" t="n"/>
      <c r="B116" s="623" t="n"/>
      <c r="C116" s="624" t="n"/>
      <c r="E116" s="628" t="n"/>
      <c r="F116" s="623" t="n"/>
      <c r="G116" s="624" t="n"/>
      <c r="I116" s="628" t="n"/>
      <c r="J116" s="623" t="n"/>
      <c r="K116" s="624" t="n"/>
      <c r="M116" s="628" t="n"/>
      <c r="N116" s="623" t="n"/>
      <c r="O116" s="624" t="n"/>
    </row>
    <row r="117" ht="18" customHeight="1" s="562">
      <c r="A117" s="622" t="n"/>
      <c r="B117" s="623" t="n"/>
      <c r="C117" s="624" t="n"/>
      <c r="E117" s="622" t="n"/>
      <c r="F117" s="623" t="n"/>
      <c r="G117" s="624" t="n"/>
      <c r="I117" s="622" t="n"/>
      <c r="J117" s="623" t="n"/>
      <c r="K117" s="624" t="n"/>
      <c r="M117" s="622" t="n"/>
      <c r="N117" s="623" t="n"/>
      <c r="O117" s="624" t="n"/>
    </row>
    <row r="118" ht="18" customHeight="1" s="562">
      <c r="A118" s="622" t="n"/>
      <c r="B118" s="623" t="n"/>
      <c r="C118" s="624" t="n"/>
      <c r="E118" s="622" t="n"/>
      <c r="F118" s="623" t="n"/>
      <c r="G118" s="624" t="n"/>
      <c r="I118" s="622" t="n"/>
      <c r="J118" s="623" t="n"/>
      <c r="K118" s="624" t="n"/>
      <c r="M118" s="622" t="n"/>
      <c r="N118" s="623" t="n"/>
      <c r="O118" s="624" t="n"/>
    </row>
    <row r="119" ht="18" customHeight="1" s="562">
      <c r="A119" s="622" t="n"/>
      <c r="B119" s="623" t="n"/>
      <c r="C119" s="624" t="n"/>
      <c r="E119" s="622" t="n"/>
      <c r="F119" s="623" t="n"/>
      <c r="G119" s="624" t="n"/>
      <c r="I119" s="622" t="n"/>
      <c r="J119" s="623" t="n"/>
      <c r="K119" s="624" t="n"/>
      <c r="M119" s="622" t="n"/>
      <c r="N119" s="623" t="n"/>
      <c r="O119" s="624" t="n"/>
    </row>
    <row r="120" ht="18" customHeight="1" s="562">
      <c r="A120" s="622" t="n"/>
      <c r="B120" s="623" t="n"/>
      <c r="C120" s="624" t="n"/>
      <c r="E120" s="622" t="n"/>
      <c r="F120" s="623" t="n"/>
      <c r="G120" s="624" t="n"/>
      <c r="I120" s="622" t="n"/>
      <c r="J120" s="623" t="n"/>
      <c r="K120" s="624" t="n"/>
      <c r="M120" s="622" t="n"/>
      <c r="N120" s="623" t="n"/>
      <c r="O120" s="624" t="n"/>
    </row>
    <row r="121" ht="18" customHeight="1" s="562">
      <c r="A121" s="622" t="n"/>
      <c r="B121" s="623" t="n"/>
      <c r="C121" s="624" t="n"/>
      <c r="E121" s="622" t="n"/>
      <c r="F121" s="623" t="n"/>
      <c r="G121" s="624" t="n"/>
      <c r="I121" s="622" t="n"/>
      <c r="J121" s="623" t="n"/>
      <c r="K121" s="624" t="n"/>
      <c r="M121" s="622" t="n"/>
      <c r="N121" s="623" t="n"/>
      <c r="O121" s="624" t="n"/>
    </row>
    <row r="122" ht="18" customHeight="1" s="562">
      <c r="A122" s="622" t="n"/>
      <c r="B122" s="623" t="n"/>
      <c r="C122" s="624" t="n"/>
      <c r="E122" s="622" t="n"/>
      <c r="F122" s="623" t="n"/>
      <c r="G122" s="624" t="n"/>
      <c r="I122" s="622" t="n"/>
      <c r="J122" s="623" t="n"/>
      <c r="K122" s="624" t="n"/>
      <c r="M122" s="622" t="n"/>
      <c r="N122" s="623" t="n"/>
      <c r="O122" s="624" t="n"/>
    </row>
    <row r="123" ht="18" customHeight="1" s="562">
      <c r="A123" s="622" t="n"/>
      <c r="B123" s="623" t="n"/>
      <c r="C123" s="624" t="n"/>
      <c r="E123" s="622" t="n"/>
      <c r="F123" s="623" t="n"/>
      <c r="G123" s="624" t="n"/>
      <c r="I123" s="622" t="n"/>
      <c r="J123" s="623" t="n"/>
      <c r="K123" s="624" t="n"/>
      <c r="M123" s="622" t="n"/>
      <c r="N123" s="623" t="n"/>
      <c r="O123" s="624" t="n"/>
    </row>
    <row r="124" ht="18" customHeight="1" s="562">
      <c r="A124" s="622" t="n"/>
      <c r="B124" s="623" t="n"/>
      <c r="C124" s="624" t="n"/>
      <c r="E124" s="622" t="n"/>
      <c r="F124" s="623" t="n"/>
      <c r="G124" s="624" t="n"/>
      <c r="I124" s="622" t="n"/>
      <c r="J124" s="623" t="n"/>
      <c r="K124" s="624" t="n"/>
      <c r="M124" s="622" t="n"/>
      <c r="N124" s="623" t="n"/>
      <c r="O124" s="624" t="n"/>
    </row>
    <row r="125" ht="18.75" customHeight="1" s="562">
      <c r="A125" s="622" t="n"/>
      <c r="B125" s="623" t="n"/>
      <c r="C125" s="624" t="n"/>
      <c r="E125" s="622" t="n"/>
      <c r="F125" s="623" t="n"/>
      <c r="G125" s="624" t="n"/>
      <c r="I125" s="622" t="n"/>
      <c r="J125" s="623" t="n"/>
      <c r="K125" s="624" t="n"/>
      <c r="M125" s="622" t="n"/>
      <c r="N125" s="623" t="n"/>
      <c r="O125" s="624" t="n"/>
    </row>
    <row r="126" ht="18.75" customHeight="1" s="562">
      <c r="A126" s="644" t="inlineStr">
        <is>
          <t xml:space="preserve">Total Expense </t>
        </is>
      </c>
      <c r="B126" s="637" t="n"/>
      <c r="C126" s="645" t="n"/>
      <c r="E126" s="644" t="inlineStr">
        <is>
          <t xml:space="preserve">Total Expense </t>
        </is>
      </c>
      <c r="F126" s="637" t="n"/>
      <c r="G126" s="645" t="n"/>
      <c r="I126" s="644" t="inlineStr">
        <is>
          <t xml:space="preserve">Total Expense </t>
        </is>
      </c>
      <c r="J126" s="637" t="n"/>
      <c r="K126" s="645" t="n"/>
      <c r="M126" s="644" t="inlineStr">
        <is>
          <t xml:space="preserve">Total Expense </t>
        </is>
      </c>
      <c r="N126" s="637" t="n"/>
      <c r="O126" s="645" t="n"/>
    </row>
    <row r="127" ht="18.75" customHeight="1" s="562">
      <c r="A127" s="646" t="inlineStr">
        <is>
          <t xml:space="preserve">Income - Expense </t>
        </is>
      </c>
      <c r="B127" s="637" t="n"/>
      <c r="C127" s="647" t="n"/>
      <c r="E127" s="646" t="inlineStr">
        <is>
          <t xml:space="preserve">Income - Expense </t>
        </is>
      </c>
      <c r="F127" s="637" t="n"/>
      <c r="G127" s="647" t="n"/>
      <c r="I127" s="646" t="inlineStr">
        <is>
          <t xml:space="preserve">Income - Expense </t>
        </is>
      </c>
      <c r="J127" s="637" t="n"/>
      <c r="K127" s="647" t="n"/>
      <c r="M127" s="646" t="inlineStr">
        <is>
          <t xml:space="preserve">Income - Expense </t>
        </is>
      </c>
      <c r="N127" s="637" t="n"/>
      <c r="O127" s="647" t="n"/>
    </row>
    <row r="131" ht="16.5" customHeight="1" s="562"/>
    <row r="132" ht="24.75" customHeight="1" s="562">
      <c r="A132" s="648" t="inlineStr">
        <is>
          <t xml:space="preserve">Total from Clients </t>
        </is>
      </c>
      <c r="B132" s="649">
        <f>SUM(C8+G8+K8+O8+S8+W8+C33+G33+K33+O33+S34+W34+C59+G59+K59+O59+S59+W59+C85+G85+K85+O85+S85+W85+C111+G111+K111+O111)</f>
        <v/>
      </c>
      <c r="F132" s="592" t="n"/>
      <c r="J132" s="623" t="n"/>
      <c r="K132" s="623" t="n"/>
      <c r="L132" s="626" t="n"/>
    </row>
    <row r="133" ht="18" customHeight="1" s="562">
      <c r="J133" s="771" t="n"/>
      <c r="K133" s="771" t="n"/>
      <c r="L133" s="768" t="n"/>
    </row>
  </sheetData>
  <mergeCells count="138">
    <mergeCell ref="M127:N127"/>
    <mergeCell ref="I103:K103"/>
    <mergeCell ref="I112:K112"/>
    <mergeCell ref="E23:F23"/>
    <mergeCell ref="Q78:S78"/>
    <mergeCell ref="A26:C26"/>
    <mergeCell ref="M104:O104"/>
    <mergeCell ref="E104:G104"/>
    <mergeCell ref="E26:G26"/>
    <mergeCell ref="A74:B74"/>
    <mergeCell ref="M74:N74"/>
    <mergeCell ref="U51:W51"/>
    <mergeCell ref="A52:C52"/>
    <mergeCell ref="A101:B101"/>
    <mergeCell ref="U100:V100"/>
    <mergeCell ref="U1:W1"/>
    <mergeCell ref="E49:F49"/>
    <mergeCell ref="U35:W35"/>
    <mergeCell ref="I34:K34"/>
    <mergeCell ref="Q74:R74"/>
    <mergeCell ref="A34:C34"/>
    <mergeCell ref="Q49:R49"/>
    <mergeCell ref="A77:C77"/>
    <mergeCell ref="E101:F101"/>
    <mergeCell ref="A126:B126"/>
    <mergeCell ref="M126:N126"/>
    <mergeCell ref="M100:N100"/>
    <mergeCell ref="I2:K2"/>
    <mergeCell ref="Q77:S77"/>
    <mergeCell ref="E100:F100"/>
    <mergeCell ref="M52:O52"/>
    <mergeCell ref="M9:O9"/>
    <mergeCell ref="U27:W27"/>
    <mergeCell ref="E75:F75"/>
    <mergeCell ref="Q75:R75"/>
    <mergeCell ref="U77:W77"/>
    <mergeCell ref="M2:O2"/>
    <mergeCell ref="A48:B48"/>
    <mergeCell ref="E60:G60"/>
    <mergeCell ref="E78:G78"/>
    <mergeCell ref="Q60:S60"/>
    <mergeCell ref="E127:F127"/>
    <mergeCell ref="E48:F48"/>
    <mergeCell ref="E77:G77"/>
    <mergeCell ref="M86:O86"/>
    <mergeCell ref="A104:C104"/>
    <mergeCell ref="E86:G86"/>
    <mergeCell ref="Q23:R23"/>
    <mergeCell ref="I1:K1"/>
    <mergeCell ref="M26:O26"/>
    <mergeCell ref="Q86:S86"/>
    <mergeCell ref="I78:K78"/>
    <mergeCell ref="I51:K51"/>
    <mergeCell ref="I127:J127"/>
    <mergeCell ref="E112:G112"/>
    <mergeCell ref="I24:J24"/>
    <mergeCell ref="U26:W26"/>
    <mergeCell ref="U24:V24"/>
    <mergeCell ref="M101:N101"/>
    <mergeCell ref="A51:C51"/>
    <mergeCell ref="A100:B100"/>
    <mergeCell ref="M24:N24"/>
    <mergeCell ref="A60:C60"/>
    <mergeCell ref="I27:K27"/>
    <mergeCell ref="I74:J74"/>
    <mergeCell ref="E1:G1"/>
    <mergeCell ref="Q51:S51"/>
    <mergeCell ref="U2:W2"/>
    <mergeCell ref="Q100:R100"/>
    <mergeCell ref="A49:B49"/>
    <mergeCell ref="Q35:S35"/>
    <mergeCell ref="E34:G34"/>
    <mergeCell ref="E9:G9"/>
    <mergeCell ref="U49:V49"/>
    <mergeCell ref="M49:N49"/>
    <mergeCell ref="M48:N48"/>
    <mergeCell ref="A2:C2"/>
    <mergeCell ref="A86:C86"/>
    <mergeCell ref="I126:J126"/>
    <mergeCell ref="E2:G2"/>
    <mergeCell ref="M77:O77"/>
    <mergeCell ref="I52:K52"/>
    <mergeCell ref="Q27:S27"/>
    <mergeCell ref="A75:B75"/>
    <mergeCell ref="U52:W52"/>
    <mergeCell ref="M75:N75"/>
    <mergeCell ref="A112:C112"/>
    <mergeCell ref="M103:O103"/>
    <mergeCell ref="M112:O112"/>
    <mergeCell ref="I23:J23"/>
    <mergeCell ref="U78:W78"/>
    <mergeCell ref="A23:B23"/>
    <mergeCell ref="I86:K86"/>
    <mergeCell ref="I104:K104"/>
    <mergeCell ref="M23:N23"/>
    <mergeCell ref="I26:K26"/>
    <mergeCell ref="M51:O51"/>
    <mergeCell ref="E51:G51"/>
    <mergeCell ref="M60:O60"/>
    <mergeCell ref="A24:B24"/>
    <mergeCell ref="E24:F24"/>
    <mergeCell ref="I49:J49"/>
    <mergeCell ref="Q26:S26"/>
    <mergeCell ref="Q24:R24"/>
    <mergeCell ref="A27:C27"/>
    <mergeCell ref="U74:V74"/>
    <mergeCell ref="Q1:S1"/>
    <mergeCell ref="I101:J101"/>
    <mergeCell ref="E126:F126"/>
    <mergeCell ref="U101:V101"/>
    <mergeCell ref="M27:O27"/>
    <mergeCell ref="I100:J100"/>
    <mergeCell ref="E27:G27"/>
    <mergeCell ref="Q9:S9"/>
    <mergeCell ref="I75:J75"/>
    <mergeCell ref="E74:F74"/>
    <mergeCell ref="U75:V75"/>
    <mergeCell ref="Q2:S2"/>
    <mergeCell ref="I60:K60"/>
    <mergeCell ref="I9:K9"/>
    <mergeCell ref="A9:C9"/>
    <mergeCell ref="U60:W60"/>
    <mergeCell ref="U9:W9"/>
    <mergeCell ref="M34:O34"/>
    <mergeCell ref="I48:J48"/>
    <mergeCell ref="I77:K77"/>
    <mergeCell ref="E52:G52"/>
    <mergeCell ref="A1:C1"/>
    <mergeCell ref="A103:C103"/>
    <mergeCell ref="U23:V23"/>
    <mergeCell ref="Q52:S52"/>
    <mergeCell ref="M1:O1"/>
    <mergeCell ref="Q101:R101"/>
    <mergeCell ref="A78:C78"/>
    <mergeCell ref="A127:B127"/>
    <mergeCell ref="U86:W86"/>
    <mergeCell ref="M78:O78"/>
    <mergeCell ref="E103:G10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M43"/>
  <sheetViews>
    <sheetView showFormulas="0" showGridLines="1" showRowColHeaders="1" showZeros="1" rightToLeft="0" tabSelected="1" showOutlineSymbols="1" defaultGridColor="1" view="normal" topLeftCell="A1" colorId="64" zoomScale="94" zoomScaleNormal="94" zoomScalePageLayoutView="100" workbookViewId="0">
      <pane xSplit="2" ySplit="3" topLeftCell="C31" activePane="bottomRight" state="frozen"/>
      <selection pane="topLeft" activeCell="A1" activeCellId="0" sqref="A1"/>
      <selection pane="topRight" activeCell="C1" activeCellId="0" sqref="C1"/>
      <selection pane="bottomLeft" activeCell="A31" activeCellId="0" sqref="A31"/>
      <selection pane="bottomRight" activeCell="B44" activeCellId="0" sqref="B44"/>
    </sheetView>
  </sheetViews>
  <sheetFormatPr baseColWidth="8" defaultColWidth="10.4921875" defaultRowHeight="15.75" customHeight="0" zeroHeight="0" outlineLevelRow="0"/>
  <cols>
    <col width="22.33" customWidth="1" style="561" min="1" max="1"/>
    <col width="19.67" customWidth="1" style="561" min="2" max="2"/>
    <col width="28.83" customWidth="1" style="561" min="3" max="3"/>
    <col width="18.16" customWidth="1" style="561" min="4" max="4"/>
    <col width="28.83" customWidth="1" style="561" min="5" max="5"/>
    <col width="19.33" customWidth="1" style="561" min="6" max="6"/>
    <col width="24.16" customWidth="1" style="561" min="7" max="7"/>
    <col width="15.83" customWidth="1" style="561" min="8" max="8"/>
    <col width="25.16" customWidth="1" style="561" min="9" max="9"/>
    <col width="18.5" customWidth="1" style="561" min="10" max="10"/>
    <col width="24.5" customWidth="1" style="561" min="11" max="11"/>
    <col width="21.5" customWidth="1" style="561" min="12" max="12"/>
    <col width="23.83" customWidth="1" style="561" min="13" max="13"/>
    <col width="33" customWidth="1" style="561" min="14" max="14"/>
    <col width="16.67" customWidth="1" style="561" min="15" max="15"/>
    <col width="39" customWidth="1" style="561" min="16" max="16"/>
    <col width="34.67" customWidth="1" style="561" min="17" max="17"/>
    <col width="24.67" customWidth="1" style="561" min="18" max="18"/>
    <col width="40" customWidth="1" style="561" min="19" max="19"/>
    <col width="35.5" customWidth="1" style="561" min="20" max="20"/>
    <col width="20" customWidth="1" style="561" min="21" max="21"/>
    <col width="32.16" customWidth="1" style="561" min="22" max="22"/>
    <col width="22.33" customWidth="1" style="561" min="23" max="23"/>
    <col width="35.67" customWidth="1" style="561" min="24" max="24"/>
    <col width="22.5" customWidth="1" style="561" min="25" max="25"/>
    <col width="43.16" customWidth="1" style="561" min="26" max="26"/>
    <col width="16.16" customWidth="1" style="561" min="27" max="27"/>
    <col width="32.16" customWidth="1" style="561" min="28" max="28"/>
    <col width="23.16" customWidth="1" style="561" min="29" max="29"/>
    <col width="22.5" customWidth="1" style="561" min="30" max="30"/>
    <col width="17.16" customWidth="1" style="561" min="31" max="31"/>
    <col width="18.5" customWidth="1" style="561" min="32" max="32"/>
    <col width="22.33" customWidth="1" style="561" min="33" max="33"/>
    <col width="17.33" customWidth="1" style="561" min="34" max="34"/>
  </cols>
  <sheetData>
    <row r="1" ht="21" customHeight="1" s="562">
      <c r="C1" s="654" t="inlineStr">
        <is>
          <t>Linda Rapuluchukwa</t>
        </is>
      </c>
      <c r="D1" s="654" t="inlineStr">
        <is>
          <t>Sophie Koga</t>
        </is>
      </c>
      <c r="E1" s="654" t="inlineStr">
        <is>
          <t>Joyce Mutambiranwa</t>
        </is>
      </c>
      <c r="F1" s="654" t="inlineStr">
        <is>
          <t>Emily Mentula</t>
        </is>
      </c>
      <c r="G1" s="654" t="inlineStr">
        <is>
          <t>Cynthia Makondo</t>
        </is>
      </c>
      <c r="H1" s="655" t="inlineStr">
        <is>
          <t>Ruth Nnadi</t>
        </is>
      </c>
      <c r="I1" s="654" t="inlineStr">
        <is>
          <t>Christina Maluleka</t>
        </is>
      </c>
      <c r="J1" s="654" t="inlineStr">
        <is>
          <t>Susan Murire</t>
        </is>
      </c>
      <c r="K1" s="654" t="inlineStr">
        <is>
          <t>Ndai Mapenyenye</t>
        </is>
      </c>
      <c r="L1" s="654" t="inlineStr">
        <is>
          <t>Adaobi Ejikeme</t>
        </is>
      </c>
      <c r="M1" s="654" t="inlineStr">
        <is>
          <t>Merriam Maluleke</t>
        </is>
      </c>
      <c r="N1" s="654" t="inlineStr">
        <is>
          <t>Jane Mokgaetsi Moekwa</t>
        </is>
      </c>
      <c r="O1" s="654" t="inlineStr">
        <is>
          <t>Sylvia Nene</t>
        </is>
      </c>
      <c r="P1" s="654" t="inlineStr">
        <is>
          <t>Matodzi Sylvia Mutavhatsindi</t>
        </is>
      </c>
      <c r="Q1" s="654" t="inlineStr">
        <is>
          <t>Siphilisiwe Nkala(Patricia)</t>
        </is>
      </c>
      <c r="R1" s="654" t="inlineStr">
        <is>
          <t>Refiloe Khuzwayo</t>
        </is>
      </c>
      <c r="S1" s="654" t="inlineStr">
        <is>
          <t>Mmamaswabi Emma Dhlamini</t>
        </is>
      </c>
      <c r="T1" s="654" t="inlineStr">
        <is>
          <t xml:space="preserve">Tracy Nothando Nyirenda </t>
        </is>
      </c>
      <c r="U1" s="654" t="inlineStr">
        <is>
          <t xml:space="preserve">Marion Goeda </t>
        </is>
      </c>
      <c r="V1" s="654" t="inlineStr">
        <is>
          <t>Siphethokhuhle Nkomo</t>
        </is>
      </c>
      <c r="W1" s="865" t="inlineStr">
        <is>
          <t>Lina Raphahlela</t>
        </is>
      </c>
      <c r="X1" s="866" t="inlineStr">
        <is>
          <t>Matshidiso Leah Aphane</t>
        </is>
      </c>
      <c r="Y1" s="654" t="inlineStr">
        <is>
          <t xml:space="preserve">Monique Bosch </t>
        </is>
      </c>
      <c r="Z1" s="654" t="inlineStr">
        <is>
          <t>Nhlakanipho (Nipho) Tshabalala</t>
        </is>
      </c>
      <c r="AA1" s="654" t="inlineStr">
        <is>
          <t>Musa Zulu</t>
        </is>
      </c>
      <c r="AB1" s="654" t="inlineStr">
        <is>
          <t>Busisiwe Mandiyanike</t>
        </is>
      </c>
      <c r="AC1" s="654" t="inlineStr">
        <is>
          <t>Emilia Masvosva</t>
        </is>
      </c>
      <c r="AD1" s="916" t="inlineStr">
        <is>
          <t>Martha Mashishi</t>
        </is>
      </c>
      <c r="AE1" s="916" t="inlineStr">
        <is>
          <t xml:space="preserve">Sara Mdaka </t>
        </is>
      </c>
      <c r="AF1" s="916" t="inlineStr">
        <is>
          <t xml:space="preserve">Martha Sona </t>
        </is>
      </c>
      <c r="AG1" s="654" t="inlineStr">
        <is>
          <t xml:space="preserve">Julia Ramoroka </t>
        </is>
      </c>
      <c r="AH1" s="654" t="inlineStr">
        <is>
          <t>Mbali Ndaba</t>
        </is>
      </c>
    </row>
    <row r="2" ht="18.75" customHeight="1" s="562">
      <c r="A2" s="657" t="n"/>
      <c r="B2" s="658" t="inlineStr">
        <is>
          <t>Caregiver Price</t>
        </is>
      </c>
      <c r="C2" s="660" t="n">
        <v>600</v>
      </c>
      <c r="D2" s="659" t="n">
        <v>450</v>
      </c>
      <c r="E2" s="659" t="n">
        <v>500</v>
      </c>
      <c r="F2" s="659" t="n">
        <v>450</v>
      </c>
      <c r="G2" s="660" t="n">
        <v>450</v>
      </c>
      <c r="H2" s="659" t="n">
        <v>450</v>
      </c>
      <c r="I2" s="660" t="n">
        <v>450</v>
      </c>
      <c r="J2" s="660" t="n">
        <v>450</v>
      </c>
      <c r="K2" s="659" t="n">
        <v>450</v>
      </c>
      <c r="L2" s="660" t="n">
        <v>450</v>
      </c>
      <c r="M2" s="660" t="n">
        <v>450</v>
      </c>
      <c r="N2" s="660" t="n">
        <v>450</v>
      </c>
      <c r="O2" s="660" t="n">
        <v>450</v>
      </c>
      <c r="P2" s="660" t="n">
        <v>450</v>
      </c>
      <c r="Q2" s="659" t="n">
        <v>450</v>
      </c>
      <c r="R2" s="660" t="n">
        <v>450</v>
      </c>
      <c r="S2" s="660" t="n">
        <v>450</v>
      </c>
      <c r="T2" s="775" t="n">
        <v>450</v>
      </c>
      <c r="U2" s="660" t="n">
        <v>450</v>
      </c>
      <c r="V2" s="659" t="n">
        <v>450</v>
      </c>
      <c r="W2" s="867" t="n">
        <v>450</v>
      </c>
      <c r="X2" s="867" t="n">
        <v>350</v>
      </c>
      <c r="Y2" s="867" t="n">
        <v>325</v>
      </c>
      <c r="Z2" s="659" t="n">
        <v>450</v>
      </c>
      <c r="AA2" s="659" t="n">
        <v>450</v>
      </c>
      <c r="AB2" s="917" t="n">
        <v>450</v>
      </c>
      <c r="AC2" s="659" t="n">
        <v>450</v>
      </c>
      <c r="AD2" s="659" t="n">
        <v>450</v>
      </c>
      <c r="AE2" s="659" t="n">
        <v>450</v>
      </c>
      <c r="AF2" s="659" t="n">
        <v>450</v>
      </c>
      <c r="AG2" s="917" t="n">
        <v>450</v>
      </c>
      <c r="AH2" s="917" t="n">
        <v>450</v>
      </c>
    </row>
    <row r="3" ht="21" customHeight="1" s="562">
      <c r="A3" s="776" t="inlineStr">
        <is>
          <t xml:space="preserve">Date </t>
        </is>
      </c>
      <c r="B3" s="777" t="inlineStr">
        <is>
          <t>Days of  Week</t>
        </is>
      </c>
      <c r="C3" s="778" t="n"/>
      <c r="D3" s="778" t="n"/>
      <c r="E3" s="778" t="n"/>
      <c r="F3" s="778" t="n"/>
      <c r="G3" s="668" t="n"/>
      <c r="H3" s="670" t="n"/>
      <c r="I3" s="668" t="n"/>
      <c r="J3" s="668" t="n"/>
      <c r="K3" s="669" t="n"/>
      <c r="L3" s="668" t="n"/>
      <c r="M3" s="779" t="n"/>
      <c r="N3" s="778" t="n"/>
      <c r="O3" s="778" t="n"/>
      <c r="P3" s="778" t="n"/>
      <c r="Q3" s="778" t="n"/>
      <c r="R3" s="778" t="n"/>
      <c r="S3" s="778" t="n"/>
      <c r="T3" s="778" t="n"/>
      <c r="U3" s="668" t="n"/>
      <c r="V3" s="868" t="n"/>
      <c r="W3" s="778" t="n"/>
      <c r="X3" s="918" t="n"/>
      <c r="Y3" s="780" t="n"/>
      <c r="Z3" s="918" t="n"/>
      <c r="AA3" s="918" t="n"/>
      <c r="AB3" s="918" t="n"/>
      <c r="AC3" s="870" t="n"/>
      <c r="AD3" s="870" t="n"/>
      <c r="AE3" s="870" t="n"/>
      <c r="AF3" s="870" t="n"/>
      <c r="AG3" s="918" t="n"/>
      <c r="AH3" s="870" t="n"/>
    </row>
    <row r="4" ht="21" customHeight="1" s="562">
      <c r="A4" s="781" t="n">
        <v>46054</v>
      </c>
      <c r="B4" s="782" t="inlineStr">
        <is>
          <t>Sunday</t>
        </is>
      </c>
      <c r="C4" s="816" t="n"/>
      <c r="D4" s="717" t="n"/>
      <c r="E4" s="816" t="n"/>
      <c r="F4" s="816" t="n"/>
      <c r="G4" s="787" t="inlineStr">
        <is>
          <t>Scroope- R400</t>
        </is>
      </c>
      <c r="H4" s="816" t="n"/>
      <c r="I4" s="816" t="n"/>
      <c r="J4" s="717" t="n"/>
      <c r="K4" s="591" t="n"/>
      <c r="L4" s="816" t="n"/>
      <c r="M4" s="717" t="n"/>
      <c r="N4" s="873" t="n"/>
      <c r="O4" s="919" t="inlineStr">
        <is>
          <t xml:space="preserve">Johnstons </t>
        </is>
      </c>
      <c r="P4" s="591" t="n"/>
      <c r="Q4" s="717" t="n"/>
      <c r="R4" s="873" t="n"/>
      <c r="S4" s="920" t="inlineStr">
        <is>
          <t xml:space="preserve">Apie </t>
        </is>
      </c>
      <c r="T4" s="921" t="inlineStr">
        <is>
          <t>Papou</t>
        </is>
      </c>
      <c r="U4" s="821" t="inlineStr">
        <is>
          <t xml:space="preserve">Ras </t>
        </is>
      </c>
      <c r="V4" s="922" t="n"/>
      <c r="W4" s="923" t="inlineStr">
        <is>
          <t xml:space="preserve">Klientjie </t>
        </is>
      </c>
      <c r="X4" s="924" t="n"/>
      <c r="Y4" s="922" t="n"/>
      <c r="Z4" s="717" t="n"/>
      <c r="AA4" s="717" t="n"/>
      <c r="AB4" s="717" t="n"/>
      <c r="AC4" s="898" t="n"/>
      <c r="AD4" s="898" t="n"/>
      <c r="AE4" s="898" t="n"/>
      <c r="AF4" s="925" t="n"/>
      <c r="AG4" s="898" t="n"/>
      <c r="AH4" s="757" t="n"/>
      <c r="AI4" s="591" t="n"/>
      <c r="AJ4" s="591" t="n"/>
      <c r="AK4" s="591" t="n"/>
      <c r="AL4" s="591" t="n"/>
      <c r="AM4" s="591" t="n"/>
    </row>
    <row r="5" ht="21" customHeight="1" s="562">
      <c r="A5" s="781" t="n">
        <v>46055</v>
      </c>
      <c r="B5" s="782" t="inlineStr">
        <is>
          <t>Monday</t>
        </is>
      </c>
      <c r="C5" s="692" t="inlineStr">
        <is>
          <t xml:space="preserve">Johnstons </t>
        </is>
      </c>
      <c r="D5" s="926" t="inlineStr">
        <is>
          <t xml:space="preserve">Theron </t>
        </is>
      </c>
      <c r="E5" s="591" t="n"/>
      <c r="F5" s="927" t="inlineStr">
        <is>
          <t xml:space="preserve">Apie </t>
        </is>
      </c>
      <c r="G5" s="591" t="n"/>
      <c r="H5" s="676" t="n"/>
      <c r="I5" s="928" t="inlineStr">
        <is>
          <t xml:space="preserve">Klientjie </t>
        </is>
      </c>
      <c r="J5" s="674" t="inlineStr">
        <is>
          <t xml:space="preserve">Bierman </t>
        </is>
      </c>
      <c r="K5" s="591" t="n"/>
      <c r="L5" s="676" t="n"/>
      <c r="M5" s="673" t="n"/>
      <c r="N5" s="591" t="n"/>
      <c r="O5" s="717" t="n"/>
      <c r="P5" s="591" t="n"/>
      <c r="Q5" s="723" t="inlineStr">
        <is>
          <t xml:space="preserve">Botes </t>
        </is>
      </c>
      <c r="R5" s="591" t="n"/>
      <c r="S5" s="676" t="n"/>
      <c r="T5" s="676" t="n"/>
      <c r="U5" s="676" t="n"/>
      <c r="V5" s="929" t="inlineStr">
        <is>
          <t xml:space="preserve">Sui Fon </t>
        </is>
      </c>
      <c r="W5" s="717" t="n"/>
      <c r="X5" s="930" t="inlineStr">
        <is>
          <t>Barnes</t>
        </is>
      </c>
      <c r="Y5" s="931" t="inlineStr">
        <is>
          <t xml:space="preserve">Du Plessis </t>
        </is>
      </c>
      <c r="Z5" s="676" t="n"/>
      <c r="AA5" s="932" t="inlineStr">
        <is>
          <t>Papou</t>
        </is>
      </c>
      <c r="AB5" s="933" t="inlineStr">
        <is>
          <t>Cecily</t>
        </is>
      </c>
      <c r="AC5" s="924" t="n"/>
      <c r="AD5" s="717" t="n"/>
      <c r="AE5" s="924" t="n"/>
      <c r="AF5" s="707" t="n"/>
      <c r="AG5" s="876" t="n"/>
      <c r="AH5" s="717" t="n"/>
      <c r="AI5" s="591" t="n"/>
      <c r="AJ5" s="591" t="n"/>
      <c r="AK5" s="591" t="n"/>
      <c r="AL5" s="591" t="n"/>
      <c r="AM5" s="591" t="n"/>
    </row>
    <row r="6" ht="21" customHeight="1" s="562">
      <c r="A6" s="781" t="n">
        <v>46056</v>
      </c>
      <c r="B6" s="782" t="inlineStr">
        <is>
          <t>Tuesday</t>
        </is>
      </c>
      <c r="C6" s="698" t="inlineStr">
        <is>
          <t xml:space="preserve">Johnstons </t>
        </is>
      </c>
      <c r="D6" s="934" t="inlineStr">
        <is>
          <t xml:space="preserve">Theron </t>
        </is>
      </c>
      <c r="E6" s="591" t="n"/>
      <c r="F6" s="717" t="n"/>
      <c r="G6" s="591" t="n"/>
      <c r="H6" s="676" t="n"/>
      <c r="I6" s="935" t="inlineStr">
        <is>
          <t xml:space="preserve">Klientjie </t>
        </is>
      </c>
      <c r="J6" s="695" t="inlineStr">
        <is>
          <t xml:space="preserve">Bierman </t>
        </is>
      </c>
      <c r="K6" s="591" t="n"/>
      <c r="L6" s="676" t="n"/>
      <c r="M6" s="673" t="n"/>
      <c r="N6" s="591" t="n"/>
      <c r="O6" s="673" t="n"/>
      <c r="P6" s="591" t="n"/>
      <c r="Q6" s="714" t="inlineStr">
        <is>
          <t xml:space="preserve">Botes </t>
        </is>
      </c>
      <c r="R6" s="591" t="n"/>
      <c r="S6" s="927" t="inlineStr">
        <is>
          <t xml:space="preserve">Apie </t>
        </is>
      </c>
      <c r="T6" s="676" t="n"/>
      <c r="U6" s="676" t="n"/>
      <c r="V6" s="676" t="n"/>
      <c r="W6" s="673" t="n"/>
      <c r="X6" s="936" t="inlineStr">
        <is>
          <t>Barnes</t>
        </is>
      </c>
      <c r="Y6" s="937" t="inlineStr">
        <is>
          <t xml:space="preserve">Du Plessis </t>
        </is>
      </c>
      <c r="Z6" s="676" t="n"/>
      <c r="AA6" s="938" t="inlineStr">
        <is>
          <t>Papou</t>
        </is>
      </c>
      <c r="AB6" s="939" t="inlineStr">
        <is>
          <t>Cecily</t>
        </is>
      </c>
      <c r="AC6" s="876" t="n"/>
      <c r="AD6" s="673" t="n"/>
      <c r="AE6" s="876" t="n"/>
      <c r="AF6" s="801" t="n"/>
      <c r="AG6" s="876" t="n"/>
      <c r="AH6" s="673" t="n"/>
      <c r="AI6" s="591" t="n"/>
      <c r="AJ6" s="591" t="n"/>
      <c r="AK6" s="591" t="n"/>
      <c r="AL6" s="591" t="n"/>
      <c r="AM6" s="591" t="n"/>
    </row>
    <row r="7" ht="21" customHeight="1" s="562">
      <c r="A7" s="781" t="n">
        <v>46057</v>
      </c>
      <c r="B7" s="782" t="inlineStr">
        <is>
          <t>Wednesday</t>
        </is>
      </c>
      <c r="C7" s="698" t="inlineStr">
        <is>
          <t xml:space="preserve">Johnstons </t>
        </is>
      </c>
      <c r="D7" s="934" t="inlineStr">
        <is>
          <t xml:space="preserve">Theron </t>
        </is>
      </c>
      <c r="E7" s="940" t="inlineStr">
        <is>
          <t xml:space="preserve">Du Plessis </t>
        </is>
      </c>
      <c r="F7" s="673" t="n"/>
      <c r="G7" s="591" t="n"/>
      <c r="H7" s="941" t="inlineStr">
        <is>
          <t xml:space="preserve">Wessels </t>
        </is>
      </c>
      <c r="I7" s="935" t="inlineStr">
        <is>
          <t xml:space="preserve">Klientjie </t>
        </is>
      </c>
      <c r="J7" s="695" t="inlineStr">
        <is>
          <t xml:space="preserve">Bierman </t>
        </is>
      </c>
      <c r="K7" s="591" t="n"/>
      <c r="L7" s="676" t="n"/>
      <c r="M7" s="673" t="n"/>
      <c r="N7" s="591" t="n"/>
      <c r="O7" s="673" t="n"/>
      <c r="P7" s="591" t="n"/>
      <c r="Q7" s="714" t="inlineStr">
        <is>
          <t xml:space="preserve">Botes </t>
        </is>
      </c>
      <c r="R7" s="591" t="n"/>
      <c r="S7" s="942" t="inlineStr">
        <is>
          <t xml:space="preserve">Apie </t>
        </is>
      </c>
      <c r="T7" s="591" t="n"/>
      <c r="U7" s="676" t="n"/>
      <c r="V7" s="929" t="inlineStr">
        <is>
          <t xml:space="preserve">Sui Fon </t>
        </is>
      </c>
      <c r="W7" s="673" t="n"/>
      <c r="X7" s="936" t="inlineStr">
        <is>
          <t>Barnes</t>
        </is>
      </c>
      <c r="Y7" s="717" t="n"/>
      <c r="Z7" s="591" t="n"/>
      <c r="AA7" s="938" t="inlineStr">
        <is>
          <t>Papou</t>
        </is>
      </c>
      <c r="AB7" s="939" t="inlineStr">
        <is>
          <t>Cecily</t>
        </is>
      </c>
      <c r="AC7" s="876" t="n"/>
      <c r="AD7" s="673" t="n"/>
      <c r="AE7" s="876" t="n"/>
      <c r="AF7" s="801" t="n"/>
      <c r="AG7" s="876" t="n"/>
      <c r="AH7" s="673" t="n"/>
      <c r="AI7" s="591" t="n"/>
      <c r="AJ7" s="591" t="n"/>
      <c r="AK7" s="591" t="n"/>
      <c r="AL7" s="591" t="n"/>
      <c r="AM7" s="591" t="n"/>
    </row>
    <row r="8" ht="21" customHeight="1" s="562">
      <c r="A8" s="781" t="n">
        <v>46058</v>
      </c>
      <c r="B8" s="782" t="inlineStr">
        <is>
          <t>Thursday</t>
        </is>
      </c>
      <c r="C8" s="711" t="inlineStr">
        <is>
          <t xml:space="preserve">Johnstons </t>
        </is>
      </c>
      <c r="D8" s="934" t="inlineStr">
        <is>
          <t xml:space="preserve">Theron </t>
        </is>
      </c>
      <c r="E8" s="937" t="inlineStr">
        <is>
          <t xml:space="preserve">Du Plessis </t>
        </is>
      </c>
      <c r="F8" s="673" t="n"/>
      <c r="G8" s="591" t="n"/>
      <c r="H8" s="787" t="inlineStr">
        <is>
          <t xml:space="preserve">Le Roux </t>
        </is>
      </c>
      <c r="I8" s="935" t="inlineStr">
        <is>
          <t xml:space="preserve">Klientjie </t>
        </is>
      </c>
      <c r="J8" s="695" t="inlineStr">
        <is>
          <t xml:space="preserve">Bierman </t>
        </is>
      </c>
      <c r="K8" s="591" t="n"/>
      <c r="L8" s="676" t="n"/>
      <c r="M8" s="673" t="n"/>
      <c r="N8" s="591" t="n"/>
      <c r="O8" s="673" t="n"/>
      <c r="P8" s="591" t="n"/>
      <c r="Q8" s="714" t="inlineStr">
        <is>
          <t xml:space="preserve">Botes </t>
        </is>
      </c>
      <c r="R8" s="591" t="n"/>
      <c r="S8" s="943" t="inlineStr">
        <is>
          <t xml:space="preserve">Apie </t>
        </is>
      </c>
      <c r="T8" s="591" t="n"/>
      <c r="U8" s="676" t="n"/>
      <c r="V8" s="676" t="n"/>
      <c r="W8" s="673" t="n"/>
      <c r="X8" s="936" t="inlineStr">
        <is>
          <t>Barnes</t>
        </is>
      </c>
      <c r="Y8" s="673" t="n"/>
      <c r="Z8" s="591" t="n"/>
      <c r="AA8" s="938" t="inlineStr">
        <is>
          <t>Papou</t>
        </is>
      </c>
      <c r="AB8" s="939" t="inlineStr">
        <is>
          <t>Cecily</t>
        </is>
      </c>
      <c r="AC8" s="876" t="n"/>
      <c r="AD8" s="673" t="n"/>
      <c r="AE8" s="876" t="n"/>
      <c r="AF8" s="801" t="n"/>
      <c r="AG8" s="876" t="n"/>
      <c r="AH8" s="673" t="n"/>
      <c r="AI8" s="591" t="n"/>
      <c r="AJ8" s="591" t="n"/>
      <c r="AK8" s="591" t="n"/>
      <c r="AL8" s="591" t="n"/>
      <c r="AM8" s="591" t="n"/>
    </row>
    <row r="9" ht="21" customHeight="1" s="562">
      <c r="A9" s="781" t="n">
        <v>46059</v>
      </c>
      <c r="B9" s="782" t="inlineStr">
        <is>
          <t>Friday</t>
        </is>
      </c>
      <c r="C9" s="676" t="n"/>
      <c r="D9" s="712" t="inlineStr">
        <is>
          <t xml:space="preserve">Theron </t>
        </is>
      </c>
      <c r="E9" s="944" t="inlineStr">
        <is>
          <t xml:space="preserve">Du Plessis </t>
        </is>
      </c>
      <c r="F9" s="945" t="inlineStr">
        <is>
          <t xml:space="preserve">Apie </t>
        </is>
      </c>
      <c r="G9" s="591" t="n"/>
      <c r="H9" s="676" t="n"/>
      <c r="I9" s="935" t="inlineStr">
        <is>
          <t xml:space="preserve">Klientjie </t>
        </is>
      </c>
      <c r="J9" s="686" t="inlineStr">
        <is>
          <t xml:space="preserve">Bierman </t>
        </is>
      </c>
      <c r="K9" s="591" t="n"/>
      <c r="L9" s="676" t="n"/>
      <c r="M9" s="673" t="n"/>
      <c r="N9" s="591" t="n"/>
      <c r="O9" s="673" t="n"/>
      <c r="P9" s="591" t="n"/>
      <c r="Q9" s="721" t="inlineStr">
        <is>
          <t xml:space="preserve">Botes </t>
        </is>
      </c>
      <c r="R9" s="591" t="n"/>
      <c r="S9" s="673" t="n"/>
      <c r="T9" s="591" t="n"/>
      <c r="U9" s="676" t="n"/>
      <c r="V9" s="929" t="inlineStr">
        <is>
          <t xml:space="preserve">Sui Fon </t>
        </is>
      </c>
      <c r="W9" s="673" t="n"/>
      <c r="X9" s="946" t="inlineStr">
        <is>
          <t>Barnes</t>
        </is>
      </c>
      <c r="Y9" s="673" t="n"/>
      <c r="Z9" s="591" t="n"/>
      <c r="AA9" s="938" t="inlineStr">
        <is>
          <t>Papou</t>
        </is>
      </c>
      <c r="AB9" s="947" t="inlineStr">
        <is>
          <t>Cecily</t>
        </is>
      </c>
      <c r="AC9" s="821" t="inlineStr">
        <is>
          <t xml:space="preserve">Botha </t>
        </is>
      </c>
      <c r="AD9" s="948" t="inlineStr">
        <is>
          <t>Scholtz</t>
        </is>
      </c>
      <c r="AE9" s="876" t="n"/>
      <c r="AF9" s="801" t="n"/>
      <c r="AG9" s="876" t="n"/>
      <c r="AH9" s="673" t="n"/>
      <c r="AI9" s="591" t="n"/>
      <c r="AJ9" s="591" t="n"/>
      <c r="AK9" s="591" t="n"/>
      <c r="AL9" s="591" t="n"/>
      <c r="AM9" s="591" t="n"/>
    </row>
    <row r="10" ht="21" customHeight="1" s="562">
      <c r="A10" s="781" t="n">
        <v>46060</v>
      </c>
      <c r="B10" s="782" t="inlineStr">
        <is>
          <t>Saturday</t>
        </is>
      </c>
      <c r="C10" s="676" t="n"/>
      <c r="D10" s="673" t="n"/>
      <c r="E10" s="676" t="n"/>
      <c r="F10" s="949" t="inlineStr">
        <is>
          <t xml:space="preserve">Apie </t>
        </is>
      </c>
      <c r="G10" s="591" t="n"/>
      <c r="H10" s="676" t="n"/>
      <c r="I10" s="935" t="inlineStr">
        <is>
          <t xml:space="preserve">Klientjie </t>
        </is>
      </c>
      <c r="J10" s="673" t="n"/>
      <c r="K10" s="591" t="n"/>
      <c r="L10" s="676" t="n"/>
      <c r="M10" s="673" t="n"/>
      <c r="N10" s="591" t="n"/>
      <c r="O10" s="673" t="n"/>
      <c r="P10" s="591" t="n"/>
      <c r="Q10" s="721" t="inlineStr">
        <is>
          <t>Botes- Invoice March</t>
        </is>
      </c>
      <c r="R10" s="591" t="n"/>
      <c r="S10" s="673" t="n"/>
      <c r="T10" s="591" t="n"/>
      <c r="U10" s="676" t="n"/>
      <c r="V10" s="676" t="n"/>
      <c r="W10" s="673" t="n"/>
      <c r="Y10" s="795" t="n"/>
      <c r="Z10" s="591" t="n"/>
      <c r="AA10" s="938" t="inlineStr">
        <is>
          <t>Papou</t>
        </is>
      </c>
      <c r="AB10" s="717" t="n"/>
      <c r="AD10" s="717" t="n"/>
      <c r="AE10" s="950" t="n"/>
      <c r="AF10" s="801" t="n"/>
      <c r="AG10" s="876" t="n"/>
      <c r="AH10" s="673" t="n"/>
      <c r="AI10" s="591" t="n"/>
      <c r="AJ10" s="591" t="n"/>
      <c r="AK10" s="591" t="n"/>
      <c r="AL10" s="591" t="n"/>
      <c r="AM10" s="591" t="n"/>
    </row>
    <row r="11" ht="21" customHeight="1" s="562">
      <c r="A11" s="781" t="n">
        <v>46061</v>
      </c>
      <c r="B11" s="782" t="inlineStr">
        <is>
          <t>Sunday</t>
        </is>
      </c>
      <c r="C11" s="676" t="n"/>
      <c r="D11" s="673" t="n"/>
      <c r="E11" s="676" t="n"/>
      <c r="F11" s="949" t="inlineStr">
        <is>
          <t xml:space="preserve">Apie </t>
        </is>
      </c>
      <c r="G11" s="591" t="n"/>
      <c r="H11" s="676" t="n"/>
      <c r="I11" s="935" t="inlineStr">
        <is>
          <t xml:space="preserve">Klientjie </t>
        </is>
      </c>
      <c r="J11" s="673" t="n"/>
      <c r="K11" s="591" t="n"/>
      <c r="L11" s="676" t="n"/>
      <c r="M11" s="673" t="n"/>
      <c r="N11" s="591" t="n"/>
      <c r="O11" s="673" t="n"/>
      <c r="P11" s="591" t="n"/>
      <c r="Q11" s="673" t="n"/>
      <c r="R11" s="591" t="n"/>
      <c r="S11" s="673" t="n"/>
      <c r="T11" s="591" t="n"/>
      <c r="U11" s="676" t="n"/>
      <c r="V11" s="676" t="n"/>
      <c r="W11" s="673" t="n"/>
      <c r="Y11" s="795" t="n"/>
      <c r="Z11" s="591" t="n"/>
      <c r="AA11" s="951" t="inlineStr">
        <is>
          <t>Papou</t>
        </is>
      </c>
      <c r="AB11" s="673" t="n"/>
      <c r="AD11" s="673" t="n"/>
      <c r="AE11" s="950" t="n"/>
      <c r="AF11" s="801" t="n"/>
      <c r="AG11" s="876" t="n"/>
      <c r="AH11" s="673" t="n"/>
      <c r="AI11" s="591" t="n"/>
      <c r="AJ11" s="591" t="n"/>
      <c r="AK11" s="591" t="n"/>
      <c r="AL11" s="591" t="n"/>
      <c r="AM11" s="591" t="n"/>
    </row>
    <row r="12" ht="21" customHeight="1" s="562">
      <c r="A12" s="781" t="n">
        <v>46062</v>
      </c>
      <c r="B12" s="782" t="inlineStr">
        <is>
          <t>Monday</t>
        </is>
      </c>
      <c r="C12" s="692" t="inlineStr">
        <is>
          <t xml:space="preserve">Johnstons </t>
        </is>
      </c>
      <c r="D12" s="952" t="inlineStr">
        <is>
          <t xml:space="preserve">Theron </t>
        </is>
      </c>
      <c r="E12" s="953" t="inlineStr">
        <is>
          <t xml:space="preserve">Du Plessis </t>
        </is>
      </c>
      <c r="F12" s="954" t="inlineStr">
        <is>
          <t xml:space="preserve">Apie </t>
        </is>
      </c>
      <c r="G12" s="591" t="n"/>
      <c r="H12" s="676" t="n"/>
      <c r="I12" s="935" t="inlineStr">
        <is>
          <t xml:space="preserve">Klientjie </t>
        </is>
      </c>
      <c r="J12" s="674" t="inlineStr">
        <is>
          <t xml:space="preserve">Bierman </t>
        </is>
      </c>
      <c r="K12" s="591" t="n"/>
      <c r="L12" s="676" t="n"/>
      <c r="M12" s="673" t="n"/>
      <c r="N12" s="591" t="n"/>
      <c r="O12" s="673" t="n"/>
      <c r="P12" s="591" t="n"/>
      <c r="Q12" s="723" t="inlineStr">
        <is>
          <t xml:space="preserve">Botes </t>
        </is>
      </c>
      <c r="R12" s="591" t="n"/>
      <c r="S12" s="673" t="n"/>
      <c r="T12" s="955" t="inlineStr">
        <is>
          <t>Papou</t>
        </is>
      </c>
      <c r="U12" s="826" t="inlineStr">
        <is>
          <t>Ras</t>
        </is>
      </c>
      <c r="V12" s="929" t="inlineStr">
        <is>
          <t xml:space="preserve">Sui Fon </t>
        </is>
      </c>
      <c r="W12" s="673" t="n"/>
      <c r="X12" s="930" t="inlineStr">
        <is>
          <t>Barnes</t>
        </is>
      </c>
      <c r="Y12" s="676" t="n"/>
      <c r="Z12" s="678" t="inlineStr">
        <is>
          <t xml:space="preserve">Place </t>
        </is>
      </c>
      <c r="AA12" s="591" t="n"/>
      <c r="AB12" s="676" t="n"/>
      <c r="AC12" s="956" t="inlineStr">
        <is>
          <t xml:space="preserve">Botha </t>
        </is>
      </c>
      <c r="AD12" s="673" t="n"/>
      <c r="AE12" s="957" t="inlineStr">
        <is>
          <t>Cecily</t>
        </is>
      </c>
      <c r="AF12" s="693" t="inlineStr">
        <is>
          <t xml:space="preserve">Maria Burgum </t>
        </is>
      </c>
      <c r="AG12" s="950" t="n"/>
      <c r="AH12" s="673" t="n"/>
      <c r="AI12" s="591" t="n"/>
      <c r="AJ12" s="591" t="n"/>
      <c r="AK12" s="591" t="n"/>
      <c r="AL12" s="591" t="n"/>
      <c r="AM12" s="591" t="n"/>
    </row>
    <row r="13" ht="21" customHeight="1" s="562">
      <c r="A13" s="781" t="n">
        <v>46063</v>
      </c>
      <c r="B13" s="782" t="inlineStr">
        <is>
          <t>Tuesday</t>
        </is>
      </c>
      <c r="C13" s="698" t="inlineStr">
        <is>
          <t xml:space="preserve">Johnstons </t>
        </is>
      </c>
      <c r="D13" s="958" t="inlineStr">
        <is>
          <t xml:space="preserve">Theron </t>
        </is>
      </c>
      <c r="E13" s="959" t="inlineStr">
        <is>
          <t xml:space="preserve">Du Plessis </t>
        </is>
      </c>
      <c r="F13" s="679" t="n"/>
      <c r="G13" s="591" t="n"/>
      <c r="H13" s="676" t="n"/>
      <c r="I13" s="935" t="inlineStr">
        <is>
          <t xml:space="preserve">Klientjie </t>
        </is>
      </c>
      <c r="J13" s="695" t="inlineStr">
        <is>
          <t xml:space="preserve">Bierman </t>
        </is>
      </c>
      <c r="K13" s="591" t="n"/>
      <c r="L13" s="676" t="n"/>
      <c r="M13" s="673" t="n"/>
      <c r="N13" s="591" t="n"/>
      <c r="O13" s="673" t="n"/>
      <c r="P13" s="591" t="n"/>
      <c r="Q13" s="714" t="inlineStr">
        <is>
          <t xml:space="preserve">Botes </t>
        </is>
      </c>
      <c r="R13" s="591" t="n"/>
      <c r="S13" s="927" t="inlineStr">
        <is>
          <t xml:space="preserve">Apie </t>
        </is>
      </c>
      <c r="T13" s="960" t="inlineStr">
        <is>
          <t>Papou</t>
        </is>
      </c>
      <c r="U13" s="827" t="inlineStr">
        <is>
          <t>Ras</t>
        </is>
      </c>
      <c r="V13" s="591" t="n"/>
      <c r="W13" s="673" t="n"/>
      <c r="X13" s="936" t="inlineStr">
        <is>
          <t>Barnes</t>
        </is>
      </c>
      <c r="Y13" s="676" t="n"/>
      <c r="Z13" s="688" t="inlineStr">
        <is>
          <t xml:space="preserve">Place </t>
        </is>
      </c>
      <c r="AA13" s="591" t="n"/>
      <c r="AB13" s="676" t="n"/>
      <c r="AC13" s="847" t="n"/>
      <c r="AD13" s="673" t="n"/>
      <c r="AE13" s="961" t="inlineStr">
        <is>
          <t>Cecily</t>
        </is>
      </c>
      <c r="AF13" s="699" t="inlineStr">
        <is>
          <t xml:space="preserve">Maria Burgum </t>
        </is>
      </c>
      <c r="AG13" s="872" t="inlineStr">
        <is>
          <t xml:space="preserve">Roux </t>
        </is>
      </c>
      <c r="AH13" s="673" t="n"/>
      <c r="AI13" s="591" t="n"/>
      <c r="AJ13" s="591" t="n"/>
      <c r="AK13" s="591" t="n"/>
      <c r="AL13" s="591" t="n"/>
      <c r="AM13" s="591" t="n"/>
    </row>
    <row r="14" ht="21" customHeight="1" s="562">
      <c r="A14" s="781" t="n">
        <v>46064</v>
      </c>
      <c r="B14" s="782" t="inlineStr">
        <is>
          <t>Wednesday</t>
        </is>
      </c>
      <c r="C14" s="698" t="inlineStr">
        <is>
          <t xml:space="preserve">Johnstons </t>
        </is>
      </c>
      <c r="D14" s="958" t="inlineStr">
        <is>
          <t xml:space="preserve">Theron </t>
        </is>
      </c>
      <c r="E14" s="959" t="inlineStr">
        <is>
          <t xml:space="preserve">Du Plessis </t>
        </is>
      </c>
      <c r="F14" s="591" t="n"/>
      <c r="G14" s="962" t="inlineStr">
        <is>
          <t xml:space="preserve">Richards </t>
        </is>
      </c>
      <c r="H14" s="785" t="inlineStr">
        <is>
          <t xml:space="preserve">Wessels </t>
        </is>
      </c>
      <c r="I14" s="963" t="inlineStr">
        <is>
          <t xml:space="preserve">Klientjie </t>
        </is>
      </c>
      <c r="J14" s="695" t="inlineStr">
        <is>
          <t xml:space="preserve">Bierman </t>
        </is>
      </c>
      <c r="K14" s="591" t="n"/>
      <c r="L14" s="676" t="n"/>
      <c r="M14" s="673" t="n"/>
      <c r="N14" s="591" t="n"/>
      <c r="O14" s="673" t="n"/>
      <c r="P14" s="591" t="n"/>
      <c r="Q14" s="714" t="inlineStr">
        <is>
          <t xml:space="preserve">Botes </t>
        </is>
      </c>
      <c r="R14" s="591" t="n"/>
      <c r="S14" s="942" t="inlineStr">
        <is>
          <t xml:space="preserve">Apie </t>
        </is>
      </c>
      <c r="T14" s="960" t="inlineStr">
        <is>
          <t>Papou</t>
        </is>
      </c>
      <c r="U14" s="827" t="inlineStr">
        <is>
          <t>Ras</t>
        </is>
      </c>
      <c r="V14" s="964" t="inlineStr">
        <is>
          <t xml:space="preserve">Sui Fon </t>
        </is>
      </c>
      <c r="W14" s="673" t="n"/>
      <c r="X14" s="936" t="inlineStr">
        <is>
          <t>Barnes</t>
        </is>
      </c>
      <c r="Y14" s="676" t="n"/>
      <c r="Z14" s="688" t="inlineStr">
        <is>
          <t xml:space="preserve">Place </t>
        </is>
      </c>
      <c r="AA14" s="591" t="n"/>
      <c r="AB14" s="673" t="n"/>
      <c r="AC14" s="956" t="inlineStr">
        <is>
          <t xml:space="preserve">Botha </t>
        </is>
      </c>
      <c r="AD14" s="673" t="n"/>
      <c r="AE14" s="961" t="inlineStr">
        <is>
          <t>Cecily</t>
        </is>
      </c>
      <c r="AF14" s="712" t="inlineStr">
        <is>
          <t xml:space="preserve">Maria Burgum </t>
        </is>
      </c>
      <c r="AG14" s="965" t="inlineStr">
        <is>
          <t xml:space="preserve">Roux </t>
        </is>
      </c>
      <c r="AH14" s="673" t="n"/>
      <c r="AI14" s="591" t="n"/>
      <c r="AJ14" s="591" t="n"/>
      <c r="AK14" s="591" t="n"/>
      <c r="AL14" s="591" t="n"/>
      <c r="AM14" s="591" t="n"/>
    </row>
    <row r="15" ht="21" customHeight="1" s="562">
      <c r="A15" s="781" t="n">
        <v>46065</v>
      </c>
      <c r="B15" s="782" t="inlineStr">
        <is>
          <t>Thursday</t>
        </is>
      </c>
      <c r="C15" s="698" t="inlineStr">
        <is>
          <t xml:space="preserve">Johnstons </t>
        </is>
      </c>
      <c r="D15" s="958" t="inlineStr">
        <is>
          <t xml:space="preserve">Theron </t>
        </is>
      </c>
      <c r="E15" s="959" t="inlineStr">
        <is>
          <t xml:space="preserve">Du Plessis </t>
        </is>
      </c>
      <c r="F15" s="591" t="n"/>
      <c r="G15" s="966" t="inlineStr">
        <is>
          <t xml:space="preserve">Richards </t>
        </is>
      </c>
      <c r="H15" s="967" t="inlineStr">
        <is>
          <t xml:space="preserve">Le Roux </t>
        </is>
      </c>
      <c r="I15" s="717" t="n"/>
      <c r="J15" s="701" t="inlineStr">
        <is>
          <t xml:space="preserve">Bierman </t>
        </is>
      </c>
      <c r="K15" s="591" t="n"/>
      <c r="L15" s="928" t="inlineStr">
        <is>
          <t xml:space="preserve">Klientjie </t>
        </is>
      </c>
      <c r="M15" s="679" t="n"/>
      <c r="N15" s="591" t="n"/>
      <c r="O15" s="673" t="n"/>
      <c r="P15" s="591" t="n"/>
      <c r="Q15" s="714" t="inlineStr">
        <is>
          <t xml:space="preserve">Botes </t>
        </is>
      </c>
      <c r="R15" s="591" t="n"/>
      <c r="S15" s="943" t="inlineStr">
        <is>
          <t xml:space="preserve">Apie </t>
        </is>
      </c>
      <c r="T15" s="960" t="inlineStr">
        <is>
          <t>Papou</t>
        </is>
      </c>
      <c r="U15" s="838" t="inlineStr">
        <is>
          <t>Ras</t>
        </is>
      </c>
      <c r="V15" s="717" t="n"/>
      <c r="W15" s="679" t="n"/>
      <c r="X15" s="936" t="inlineStr">
        <is>
          <t>Barnes</t>
        </is>
      </c>
      <c r="Y15" s="676" t="n"/>
      <c r="Z15" s="688" t="inlineStr">
        <is>
          <t xml:space="preserve">Place </t>
        </is>
      </c>
      <c r="AA15" s="591" t="n"/>
      <c r="AB15" s="673" t="n"/>
      <c r="AD15" s="673" t="n"/>
      <c r="AE15" s="961" t="inlineStr">
        <is>
          <t>Cecily</t>
        </is>
      </c>
      <c r="AF15" s="876" t="n"/>
      <c r="AG15" s="950" t="n"/>
      <c r="AH15" s="673" t="n"/>
      <c r="AI15" s="591" t="n"/>
      <c r="AJ15" s="591" t="n"/>
      <c r="AK15" s="591" t="n"/>
      <c r="AL15" s="591" t="n"/>
      <c r="AM15" s="591" t="n"/>
    </row>
    <row r="16" ht="21" customHeight="1" s="562">
      <c r="A16" s="781" t="n">
        <v>46066</v>
      </c>
      <c r="B16" s="782" t="inlineStr">
        <is>
          <t>Friday</t>
        </is>
      </c>
      <c r="C16" s="711" t="inlineStr">
        <is>
          <t xml:space="preserve">Johnstons </t>
        </is>
      </c>
      <c r="D16" s="968" t="inlineStr">
        <is>
          <t xml:space="preserve">Theron </t>
        </is>
      </c>
      <c r="E16" s="959" t="inlineStr">
        <is>
          <t xml:space="preserve">Du Plessis </t>
        </is>
      </c>
      <c r="F16" s="969" t="inlineStr">
        <is>
          <t xml:space="preserve">Apie </t>
        </is>
      </c>
      <c r="G16" s="970" t="inlineStr">
        <is>
          <t xml:space="preserve">Richards </t>
        </is>
      </c>
      <c r="H16" s="971" t="inlineStr">
        <is>
          <t>Webb</t>
        </is>
      </c>
      <c r="I16" s="673" t="n"/>
      <c r="J16" s="705" t="inlineStr">
        <is>
          <t xml:space="preserve">Bierman </t>
        </is>
      </c>
      <c r="K16" s="591" t="n"/>
      <c r="L16" s="935" t="inlineStr">
        <is>
          <t xml:space="preserve">Klientjie </t>
        </is>
      </c>
      <c r="M16" s="679" t="n"/>
      <c r="N16" s="591" t="n"/>
      <c r="O16" s="673" t="n"/>
      <c r="P16" s="591" t="n"/>
      <c r="Q16" s="721" t="inlineStr">
        <is>
          <t xml:space="preserve">Botes </t>
        </is>
      </c>
      <c r="R16" s="591" t="n"/>
      <c r="S16" s="673" t="n"/>
      <c r="T16" s="960" t="inlineStr">
        <is>
          <t>Papou</t>
        </is>
      </c>
      <c r="U16" s="838" t="inlineStr">
        <is>
          <t>Ras</t>
        </is>
      </c>
      <c r="V16" s="673" t="n"/>
      <c r="W16" s="679" t="n"/>
      <c r="X16" s="946" t="inlineStr">
        <is>
          <t>Barnes</t>
        </is>
      </c>
      <c r="Y16" s="676" t="n"/>
      <c r="Z16" s="724" t="inlineStr">
        <is>
          <t xml:space="preserve">Place </t>
        </is>
      </c>
      <c r="AA16" s="591" t="n"/>
      <c r="AB16" s="673" t="n"/>
      <c r="AC16" s="972" t="inlineStr">
        <is>
          <t xml:space="preserve">Botha </t>
        </is>
      </c>
      <c r="AD16" s="673" t="n"/>
      <c r="AE16" s="973" t="inlineStr">
        <is>
          <t>Cecily</t>
        </is>
      </c>
      <c r="AF16" s="673" t="n"/>
      <c r="AG16" s="974" t="inlineStr">
        <is>
          <t xml:space="preserve">Roux </t>
        </is>
      </c>
      <c r="AH16" s="673" t="n"/>
      <c r="AI16" s="591" t="n"/>
      <c r="AJ16" s="591" t="n"/>
      <c r="AK16" s="591" t="n"/>
      <c r="AL16" s="591" t="n"/>
      <c r="AM16" s="591" t="n"/>
    </row>
    <row r="17" ht="19.5" customHeight="1" s="562">
      <c r="A17" s="781" t="n">
        <v>46067</v>
      </c>
      <c r="B17" s="782" t="inlineStr">
        <is>
          <t>Saturday</t>
        </is>
      </c>
      <c r="C17" s="676" t="n"/>
      <c r="D17" s="676" t="n"/>
      <c r="E17" s="959" t="inlineStr">
        <is>
          <t xml:space="preserve">Du Plessis </t>
        </is>
      </c>
      <c r="F17" s="975" t="inlineStr">
        <is>
          <t xml:space="preserve">Apie </t>
        </is>
      </c>
      <c r="G17" s="591" t="n"/>
      <c r="H17" s="676" t="n"/>
      <c r="I17" s="673" t="n"/>
      <c r="J17" s="679" t="n"/>
      <c r="K17" s="591" t="n"/>
      <c r="L17" s="935" t="inlineStr">
        <is>
          <t xml:space="preserve">Klientjie </t>
        </is>
      </c>
      <c r="M17" s="679" t="n"/>
      <c r="N17" s="591" t="n"/>
      <c r="O17" s="673" t="n"/>
      <c r="P17" s="591" t="n"/>
      <c r="Q17" s="673" t="n"/>
      <c r="R17" s="591" t="n"/>
      <c r="S17" s="673" t="n"/>
      <c r="T17" s="960" t="inlineStr">
        <is>
          <t>Papou</t>
        </is>
      </c>
      <c r="U17" s="838" t="inlineStr">
        <is>
          <t>Ras</t>
        </is>
      </c>
      <c r="V17" s="673" t="n"/>
      <c r="W17" s="679" t="n"/>
      <c r="Y17" s="795" t="n"/>
      <c r="Z17" s="679" t="n"/>
      <c r="AA17" s="676" t="n"/>
      <c r="AB17" s="673" t="n"/>
      <c r="AD17" s="673" t="n"/>
      <c r="AF17" s="876" t="n"/>
      <c r="AG17" s="950" t="n"/>
      <c r="AH17" s="673" t="n"/>
      <c r="AI17" s="591" t="n"/>
      <c r="AJ17" s="591" t="n"/>
      <c r="AK17" s="591" t="n"/>
      <c r="AL17" s="591" t="n"/>
      <c r="AM17" s="591" t="n"/>
    </row>
    <row r="18" ht="21" customHeight="1" s="562">
      <c r="A18" s="781" t="n">
        <v>46068</v>
      </c>
      <c r="B18" s="782" t="inlineStr">
        <is>
          <t>Sunday</t>
        </is>
      </c>
      <c r="C18" s="676" t="n"/>
      <c r="D18" s="676" t="n"/>
      <c r="E18" s="959" t="inlineStr">
        <is>
          <t xml:space="preserve">Du Plessis </t>
        </is>
      </c>
      <c r="F18" s="975" t="inlineStr">
        <is>
          <t xml:space="preserve">Apie </t>
        </is>
      </c>
      <c r="G18" s="591" t="n"/>
      <c r="H18" s="676" t="n"/>
      <c r="I18" s="673" t="n"/>
      <c r="J18" s="679" t="n"/>
      <c r="K18" s="591" t="n"/>
      <c r="L18" s="935" t="inlineStr">
        <is>
          <t xml:space="preserve">Klientjie </t>
        </is>
      </c>
      <c r="M18" s="679" t="n"/>
      <c r="N18" s="591" t="n"/>
      <c r="O18" s="673" t="n"/>
      <c r="P18" s="591" t="n"/>
      <c r="Q18" s="673" t="n"/>
      <c r="R18" s="591" t="n"/>
      <c r="S18" s="673" t="n"/>
      <c r="T18" s="976" t="inlineStr">
        <is>
          <t>Papou</t>
        </is>
      </c>
      <c r="U18" s="977" t="inlineStr">
        <is>
          <t>Ras</t>
        </is>
      </c>
      <c r="V18" s="673" t="n"/>
      <c r="W18" s="679" t="n"/>
      <c r="Y18" s="795" t="n"/>
      <c r="Z18" s="679" t="n"/>
      <c r="AA18" s="676" t="n"/>
      <c r="AB18" s="673" t="n"/>
      <c r="AD18" s="673" t="n"/>
      <c r="AF18" s="876" t="n"/>
      <c r="AG18" s="950" t="n"/>
      <c r="AH18" s="673" t="n"/>
      <c r="AI18" s="591" t="n"/>
      <c r="AJ18" s="591" t="n"/>
      <c r="AK18" s="591" t="n"/>
      <c r="AL18" s="591" t="n"/>
      <c r="AM18" s="591" t="n"/>
    </row>
    <row r="19" ht="21" customHeight="1" s="562">
      <c r="A19" s="781" t="n">
        <v>46069</v>
      </c>
      <c r="B19" s="782" t="inlineStr">
        <is>
          <t>Monday</t>
        </is>
      </c>
      <c r="C19" s="692" t="inlineStr">
        <is>
          <t xml:space="preserve">Johnstons </t>
        </is>
      </c>
      <c r="D19" s="978" t="inlineStr">
        <is>
          <t xml:space="preserve">Theron </t>
        </is>
      </c>
      <c r="E19" s="959" t="inlineStr">
        <is>
          <t xml:space="preserve">Du Plessis </t>
        </is>
      </c>
      <c r="F19" s="979" t="inlineStr">
        <is>
          <t xml:space="preserve">Apie </t>
        </is>
      </c>
      <c r="G19" s="962" t="inlineStr">
        <is>
          <t xml:space="preserve">Richards </t>
        </is>
      </c>
      <c r="H19" s="591" t="n"/>
      <c r="I19" s="673" t="n"/>
      <c r="J19" s="784" t="inlineStr">
        <is>
          <t xml:space="preserve">Bierman </t>
        </is>
      </c>
      <c r="K19" s="591" t="n"/>
      <c r="L19" s="935" t="inlineStr">
        <is>
          <t xml:space="preserve">Klientjie </t>
        </is>
      </c>
      <c r="M19" s="679" t="n"/>
      <c r="N19" s="591" t="n"/>
      <c r="O19" s="682" t="inlineStr">
        <is>
          <t xml:space="preserve">Maria Burgum </t>
        </is>
      </c>
      <c r="P19" s="591" t="n"/>
      <c r="Q19" s="723" t="inlineStr">
        <is>
          <t xml:space="preserve">Botes </t>
        </is>
      </c>
      <c r="R19" s="591" t="n"/>
      <c r="S19" s="673" t="n"/>
      <c r="T19" s="591" t="n"/>
      <c r="U19" s="816" t="n"/>
      <c r="V19" s="673" t="n"/>
      <c r="W19" s="679" t="n"/>
      <c r="X19" s="930" t="inlineStr">
        <is>
          <t>Barnes</t>
        </is>
      </c>
      <c r="Y19" s="673" t="n"/>
      <c r="Z19" s="678" t="inlineStr">
        <is>
          <t xml:space="preserve">Place </t>
        </is>
      </c>
      <c r="AA19" s="932" t="inlineStr">
        <is>
          <t>Papou</t>
        </is>
      </c>
      <c r="AB19" s="673" t="n"/>
      <c r="AC19" s="972" t="inlineStr">
        <is>
          <t xml:space="preserve">Botha </t>
        </is>
      </c>
      <c r="AD19" s="673" t="n"/>
      <c r="AE19" s="957" t="inlineStr">
        <is>
          <t>Cecily</t>
        </is>
      </c>
      <c r="AF19" s="876" t="n"/>
      <c r="AG19" s="872" t="inlineStr">
        <is>
          <t xml:space="preserve">Roux </t>
        </is>
      </c>
      <c r="AH19" s="673" t="n"/>
      <c r="AI19" s="591" t="n"/>
      <c r="AJ19" s="591" t="n"/>
      <c r="AK19" s="591" t="n"/>
      <c r="AL19" s="591" t="n"/>
      <c r="AM19" s="591" t="n"/>
    </row>
    <row r="20" ht="21" customHeight="1" s="562">
      <c r="A20" s="781" t="n">
        <v>46070</v>
      </c>
      <c r="B20" s="782" t="inlineStr">
        <is>
          <t>Tuesday</t>
        </is>
      </c>
      <c r="C20" s="698" t="inlineStr">
        <is>
          <t xml:space="preserve">Johnstons </t>
        </is>
      </c>
      <c r="D20" s="980" t="inlineStr">
        <is>
          <t xml:space="preserve">Theron </t>
        </is>
      </c>
      <c r="E20" s="959" t="inlineStr">
        <is>
          <t xml:space="preserve">Du Plessis </t>
        </is>
      </c>
      <c r="F20" s="591" t="n"/>
      <c r="G20" s="966" t="inlineStr">
        <is>
          <t xml:space="preserve">Richards </t>
        </is>
      </c>
      <c r="H20" s="591" t="n"/>
      <c r="I20" s="673" t="n"/>
      <c r="J20" s="701" t="inlineStr">
        <is>
          <t xml:space="preserve">Bierman </t>
        </is>
      </c>
      <c r="K20" s="591" t="n"/>
      <c r="L20" s="935" t="inlineStr">
        <is>
          <t xml:space="preserve">Klientjie </t>
        </is>
      </c>
      <c r="M20" s="679" t="n"/>
      <c r="N20" s="591" t="n"/>
      <c r="O20" s="673" t="n"/>
      <c r="P20" s="591" t="n"/>
      <c r="Q20" s="714" t="inlineStr">
        <is>
          <t xml:space="preserve">Botes </t>
        </is>
      </c>
      <c r="R20" s="591" t="n"/>
      <c r="S20" s="927" t="inlineStr">
        <is>
          <t xml:space="preserve">Apie </t>
        </is>
      </c>
      <c r="T20" s="591" t="n"/>
      <c r="U20" s="981" t="inlineStr">
        <is>
          <t xml:space="preserve">Oosthuizen </t>
        </is>
      </c>
      <c r="V20" s="679" t="n"/>
      <c r="W20" s="679" t="n"/>
      <c r="X20" s="936" t="inlineStr">
        <is>
          <t>Barnes</t>
        </is>
      </c>
      <c r="Y20" s="673" t="n"/>
      <c r="Z20" s="688" t="inlineStr">
        <is>
          <t xml:space="preserve">Place </t>
        </is>
      </c>
      <c r="AA20" s="938" t="inlineStr">
        <is>
          <t>Papou</t>
        </is>
      </c>
      <c r="AB20" s="673" t="n"/>
      <c r="AD20" s="673" t="n"/>
      <c r="AE20" s="961" t="inlineStr">
        <is>
          <t>Cecily</t>
        </is>
      </c>
      <c r="AF20" s="876" t="n"/>
      <c r="AG20" s="877" t="inlineStr">
        <is>
          <t xml:space="preserve">Roux </t>
        </is>
      </c>
      <c r="AH20" s="673" t="n"/>
      <c r="AI20" s="591" t="n"/>
      <c r="AJ20" s="591" t="n"/>
      <c r="AK20" s="591" t="n"/>
      <c r="AL20" s="591" t="n"/>
      <c r="AM20" s="591" t="n"/>
    </row>
    <row r="21" ht="21" customHeight="1" s="562">
      <c r="A21" s="781" t="n">
        <v>46071</v>
      </c>
      <c r="B21" s="782" t="inlineStr">
        <is>
          <t>Wednesday</t>
        </is>
      </c>
      <c r="C21" s="982" t="inlineStr">
        <is>
          <t xml:space="preserve">Johnstons </t>
        </is>
      </c>
      <c r="D21" s="731" t="n"/>
      <c r="E21" s="983" t="inlineStr">
        <is>
          <t xml:space="preserve">Du Plessis </t>
        </is>
      </c>
      <c r="F21" s="591" t="n"/>
      <c r="G21" s="966" t="inlineStr">
        <is>
          <t xml:space="preserve">Richards </t>
        </is>
      </c>
      <c r="H21" s="984" t="inlineStr">
        <is>
          <t xml:space="preserve">Wessels </t>
        </is>
      </c>
      <c r="I21" s="746" t="n"/>
      <c r="J21" s="701" t="inlineStr">
        <is>
          <t xml:space="preserve">Bierman </t>
        </is>
      </c>
      <c r="K21" s="978" t="inlineStr">
        <is>
          <t xml:space="preserve">Theron </t>
        </is>
      </c>
      <c r="L21" s="985" t="inlineStr">
        <is>
          <t xml:space="preserve">Klientjie </t>
        </is>
      </c>
      <c r="M21" s="679" t="n"/>
      <c r="N21" s="591" t="n"/>
      <c r="O21" s="682" t="inlineStr">
        <is>
          <t xml:space="preserve">Maria Burgum </t>
        </is>
      </c>
      <c r="P21" s="591" t="n"/>
      <c r="Q21" s="714" t="inlineStr">
        <is>
          <t xml:space="preserve">Botes </t>
        </is>
      </c>
      <c r="R21" s="591" t="n"/>
      <c r="S21" s="942" t="inlineStr">
        <is>
          <t xml:space="preserve">Apie </t>
        </is>
      </c>
      <c r="T21" s="591" t="n"/>
      <c r="U21" s="986" t="inlineStr">
        <is>
          <t xml:space="preserve">Oosthuizen </t>
        </is>
      </c>
      <c r="V21" s="679" t="n"/>
      <c r="W21" s="679" t="n"/>
      <c r="X21" s="936" t="inlineStr">
        <is>
          <t>Barnes</t>
        </is>
      </c>
      <c r="Y21" s="673" t="n"/>
      <c r="Z21" s="724" t="inlineStr">
        <is>
          <t xml:space="preserve">Place </t>
        </is>
      </c>
      <c r="AA21" s="938" t="inlineStr">
        <is>
          <t>Papou</t>
        </is>
      </c>
      <c r="AB21" s="673" t="n"/>
      <c r="AC21" s="972" t="inlineStr">
        <is>
          <t xml:space="preserve">Botha </t>
        </is>
      </c>
      <c r="AD21" s="673" t="n"/>
      <c r="AE21" s="987" t="inlineStr">
        <is>
          <t>Cecily</t>
        </is>
      </c>
      <c r="AF21" s="876" t="n"/>
      <c r="AG21" s="965" t="inlineStr">
        <is>
          <t xml:space="preserve">Roux </t>
        </is>
      </c>
      <c r="AH21" s="673" t="n"/>
      <c r="AI21" s="591" t="n"/>
      <c r="AJ21" s="591" t="n"/>
      <c r="AK21" s="591" t="n"/>
      <c r="AL21" s="591" t="n"/>
      <c r="AM21" s="591" t="n"/>
    </row>
    <row r="22" ht="21" customHeight="1" s="562">
      <c r="A22" s="781" t="n">
        <v>46072</v>
      </c>
      <c r="B22" s="782" t="inlineStr">
        <is>
          <t>Thursday</t>
        </is>
      </c>
      <c r="C22" s="982" t="inlineStr">
        <is>
          <t xml:space="preserve">Johnstons </t>
        </is>
      </c>
      <c r="D22" s="733" t="n"/>
      <c r="E22" s="983" t="inlineStr">
        <is>
          <t xml:space="preserve">Du Plessis </t>
        </is>
      </c>
      <c r="F22" s="591" t="n"/>
      <c r="G22" s="966" t="inlineStr">
        <is>
          <t xml:space="preserve">Richards </t>
        </is>
      </c>
      <c r="H22" s="988" t="inlineStr">
        <is>
          <t xml:space="preserve">Le Roux </t>
        </is>
      </c>
      <c r="I22" s="989" t="inlineStr">
        <is>
          <t xml:space="preserve">Klientjie </t>
        </is>
      </c>
      <c r="J22" s="695" t="inlineStr">
        <is>
          <t xml:space="preserve">Bierman </t>
        </is>
      </c>
      <c r="K22" s="699" t="inlineStr">
        <is>
          <t xml:space="preserve">Theron </t>
        </is>
      </c>
      <c r="L22" s="676" t="n"/>
      <c r="M22" s="990" t="inlineStr">
        <is>
          <t>O Niell</t>
        </is>
      </c>
      <c r="N22" s="591" t="n"/>
      <c r="O22" s="673" t="n"/>
      <c r="P22" s="591" t="n"/>
      <c r="Q22" s="714" t="inlineStr">
        <is>
          <t xml:space="preserve">Botes </t>
        </is>
      </c>
      <c r="R22" s="591" t="n"/>
      <c r="S22" s="943" t="inlineStr">
        <is>
          <t xml:space="preserve">Apie </t>
        </is>
      </c>
      <c r="T22" s="591" t="n"/>
      <c r="U22" s="986" t="inlineStr">
        <is>
          <t xml:space="preserve">Oosthuizen </t>
        </is>
      </c>
      <c r="V22" s="679" t="n"/>
      <c r="W22" s="679" t="n"/>
      <c r="X22" s="936" t="inlineStr">
        <is>
          <t>Barnes</t>
        </is>
      </c>
      <c r="Y22" s="673" t="n"/>
      <c r="Z22" s="679" t="n"/>
      <c r="AA22" s="938" t="inlineStr">
        <is>
          <t>Papou</t>
        </is>
      </c>
      <c r="AB22" s="673" t="n"/>
      <c r="AD22" s="676" t="n"/>
      <c r="AE22" s="717" t="n"/>
      <c r="AF22" s="950" t="n"/>
      <c r="AG22" s="950" t="n"/>
      <c r="AH22" s="673" t="n"/>
      <c r="AI22" s="591" t="n"/>
      <c r="AJ22" s="591" t="n"/>
      <c r="AK22" s="591" t="n"/>
      <c r="AL22" s="591" t="n"/>
      <c r="AM22" s="591" t="n"/>
    </row>
    <row r="23" ht="21" customHeight="1" s="562">
      <c r="A23" s="781" t="n">
        <v>46073</v>
      </c>
      <c r="B23" s="782" t="inlineStr">
        <is>
          <t>Friday</t>
        </is>
      </c>
      <c r="C23" s="991" t="inlineStr">
        <is>
          <t xml:space="preserve">Johnstons </t>
        </is>
      </c>
      <c r="D23" s="733" t="n"/>
      <c r="E23" s="992" t="inlineStr">
        <is>
          <t xml:space="preserve">Du Plessis </t>
        </is>
      </c>
      <c r="F23" s="969" t="inlineStr">
        <is>
          <t xml:space="preserve">Apie </t>
        </is>
      </c>
      <c r="G23" s="966" t="inlineStr">
        <is>
          <t xml:space="preserve">Richards </t>
        </is>
      </c>
      <c r="H23" s="993" t="inlineStr">
        <is>
          <t>Webb</t>
        </is>
      </c>
      <c r="I23" s="935" t="inlineStr">
        <is>
          <t xml:space="preserve">Klientjie </t>
        </is>
      </c>
      <c r="J23" s="686" t="inlineStr">
        <is>
          <t xml:space="preserve">Bierman </t>
        </is>
      </c>
      <c r="K23" s="699" t="inlineStr">
        <is>
          <t xml:space="preserve">Theron </t>
        </is>
      </c>
      <c r="L23" s="676" t="n"/>
      <c r="M23" s="717" t="n"/>
      <c r="N23" s="591" t="n"/>
      <c r="O23" s="682" t="inlineStr">
        <is>
          <t xml:space="preserve">Maria Burgum </t>
        </is>
      </c>
      <c r="P23" s="591" t="n"/>
      <c r="Q23" s="721" t="inlineStr">
        <is>
          <t xml:space="preserve">Botes </t>
        </is>
      </c>
      <c r="R23" s="591" t="n"/>
      <c r="S23" s="673" t="n"/>
      <c r="T23" s="591" t="n"/>
      <c r="U23" s="994" t="inlineStr">
        <is>
          <t xml:space="preserve">Oosthuizen </t>
        </is>
      </c>
      <c r="V23" s="679" t="n"/>
      <c r="W23" s="679" t="n"/>
      <c r="X23" s="946" t="inlineStr">
        <is>
          <t>Barnes</t>
        </is>
      </c>
      <c r="Y23" s="673" t="n"/>
      <c r="Z23" s="679" t="n"/>
      <c r="AA23" s="938" t="inlineStr">
        <is>
          <t>Papou</t>
        </is>
      </c>
      <c r="AB23" s="673" t="n"/>
      <c r="AC23" s="972" t="inlineStr">
        <is>
          <t xml:space="preserve">Botha </t>
        </is>
      </c>
      <c r="AD23" s="676" t="n"/>
      <c r="AE23" s="673" t="n"/>
      <c r="AF23" s="950" t="n"/>
      <c r="AG23" s="974" t="inlineStr">
        <is>
          <t xml:space="preserve">Roux </t>
        </is>
      </c>
      <c r="AH23" s="995" t="inlineStr">
        <is>
          <t>Scholtz</t>
        </is>
      </c>
      <c r="AI23" s="591" t="n"/>
      <c r="AJ23" s="591" t="n"/>
      <c r="AK23" s="591" t="n"/>
      <c r="AL23" s="591" t="n"/>
      <c r="AM23" s="591" t="n"/>
    </row>
    <row r="24" ht="19.5" customHeight="1" s="562">
      <c r="A24" s="781" t="n">
        <v>46074</v>
      </c>
      <c r="B24" s="782" t="inlineStr">
        <is>
          <t>Saturday</t>
        </is>
      </c>
      <c r="C24" s="676" t="n"/>
      <c r="D24" s="733" t="n"/>
      <c r="E24" s="591" t="n"/>
      <c r="F24" s="996" t="inlineStr">
        <is>
          <t xml:space="preserve">Apie </t>
        </is>
      </c>
      <c r="G24" s="966" t="inlineStr">
        <is>
          <t xml:space="preserve">Richards </t>
        </is>
      </c>
      <c r="H24" s="591" t="n"/>
      <c r="I24" s="935" t="inlineStr">
        <is>
          <t xml:space="preserve">Klientjie </t>
        </is>
      </c>
      <c r="J24" s="673" t="n"/>
      <c r="K24" s="699" t="inlineStr">
        <is>
          <t xml:space="preserve">Theron </t>
        </is>
      </c>
      <c r="L24" s="676" t="n"/>
      <c r="M24" s="673" t="n"/>
      <c r="N24" s="591" t="n"/>
      <c r="O24" s="673" t="n"/>
      <c r="P24" s="591" t="n"/>
      <c r="Q24" s="673" t="n"/>
      <c r="R24" s="591" t="n"/>
      <c r="S24" s="673" t="n"/>
      <c r="T24" s="591" t="n"/>
      <c r="U24" s="676" t="n"/>
      <c r="V24" s="673" t="n"/>
      <c r="W24" s="679" t="n"/>
      <c r="Y24" s="795" t="n"/>
      <c r="Z24" s="679" t="n"/>
      <c r="AA24" s="938" t="inlineStr">
        <is>
          <t>Papou</t>
        </is>
      </c>
      <c r="AB24" s="673" t="n"/>
      <c r="AD24" s="676" t="n"/>
      <c r="AE24" s="876" t="n"/>
      <c r="AF24" s="950" t="n"/>
      <c r="AG24" s="950" t="n"/>
      <c r="AH24" s="673" t="n"/>
      <c r="AI24" s="591" t="n"/>
      <c r="AJ24" s="591" t="n"/>
      <c r="AK24" s="591" t="n"/>
      <c r="AL24" s="591" t="n"/>
      <c r="AM24" s="591" t="n"/>
    </row>
    <row r="25" ht="21" customHeight="1" s="562">
      <c r="A25" s="781" t="n">
        <v>46075</v>
      </c>
      <c r="B25" s="782" t="inlineStr">
        <is>
          <t>Sunday</t>
        </is>
      </c>
      <c r="C25" s="676" t="n"/>
      <c r="D25" s="733" t="n"/>
      <c r="E25" s="591" t="n"/>
      <c r="F25" s="997" t="inlineStr">
        <is>
          <t xml:space="preserve">Apie </t>
        </is>
      </c>
      <c r="G25" s="966" t="inlineStr">
        <is>
          <t xml:space="preserve">Richards </t>
        </is>
      </c>
      <c r="H25" s="591" t="n"/>
      <c r="I25" s="935" t="inlineStr">
        <is>
          <t xml:space="preserve">Klientjie </t>
        </is>
      </c>
      <c r="J25" s="673" t="n"/>
      <c r="K25" s="699" t="inlineStr">
        <is>
          <t xml:space="preserve">Theron </t>
        </is>
      </c>
      <c r="L25" s="676" t="n"/>
      <c r="M25" s="673" t="n"/>
      <c r="N25" s="591" t="n"/>
      <c r="O25" s="673" t="n"/>
      <c r="P25" s="591" t="n"/>
      <c r="Q25" s="673" t="n"/>
      <c r="R25" s="591" t="n"/>
      <c r="S25" s="673" t="n"/>
      <c r="T25" s="591" t="n"/>
      <c r="U25" s="715" t="n"/>
      <c r="V25" s="673" t="n"/>
      <c r="W25" s="679" t="n"/>
      <c r="Y25" s="795" t="n"/>
      <c r="Z25" s="679" t="n"/>
      <c r="AA25" s="951" t="inlineStr">
        <is>
          <t>Papou</t>
        </is>
      </c>
      <c r="AB25" s="673" t="n"/>
      <c r="AD25" s="676" t="n"/>
      <c r="AE25" s="876" t="n"/>
      <c r="AF25" s="950" t="n"/>
      <c r="AG25" s="950" t="n"/>
      <c r="AH25" s="673" t="n"/>
      <c r="AI25" s="591" t="n"/>
      <c r="AJ25" s="591" t="n"/>
      <c r="AK25" s="591" t="n"/>
      <c r="AL25" s="591" t="n"/>
      <c r="AM25" s="591" t="n"/>
    </row>
    <row r="26" ht="21" customHeight="1" s="562">
      <c r="A26" s="781" t="n">
        <v>46076</v>
      </c>
      <c r="B26" s="782" t="inlineStr">
        <is>
          <t>Monday</t>
        </is>
      </c>
      <c r="C26" s="998" t="inlineStr">
        <is>
          <t xml:space="preserve">Johnstons </t>
        </is>
      </c>
      <c r="D26" s="733" t="n"/>
      <c r="E26" s="999" t="inlineStr">
        <is>
          <t xml:space="preserve">Du Plessis </t>
        </is>
      </c>
      <c r="F26" s="997" t="inlineStr">
        <is>
          <t xml:space="preserve">Apie </t>
        </is>
      </c>
      <c r="G26" s="966" t="inlineStr">
        <is>
          <t xml:space="preserve">Richards </t>
        </is>
      </c>
      <c r="H26" s="591" t="n"/>
      <c r="I26" s="935" t="inlineStr">
        <is>
          <t xml:space="preserve">Klientjie </t>
        </is>
      </c>
      <c r="J26" s="674" t="inlineStr">
        <is>
          <t xml:space="preserve">Bierman </t>
        </is>
      </c>
      <c r="K26" s="699" t="inlineStr">
        <is>
          <t xml:space="preserve">Theron </t>
        </is>
      </c>
      <c r="L26" s="676" t="n"/>
      <c r="M26" s="1000" t="inlineStr">
        <is>
          <t xml:space="preserve">De Waal </t>
        </is>
      </c>
      <c r="N26" s="591" t="n"/>
      <c r="O26" s="682" t="inlineStr">
        <is>
          <t xml:space="preserve">Maria Burgum </t>
        </is>
      </c>
      <c r="P26" s="591" t="n"/>
      <c r="Q26" s="723" t="inlineStr">
        <is>
          <t xml:space="preserve">Botes </t>
        </is>
      </c>
      <c r="R26" s="591" t="n"/>
      <c r="S26" s="717" t="n"/>
      <c r="T26" s="955" t="inlineStr">
        <is>
          <t>Papou</t>
        </is>
      </c>
      <c r="U26" s="1001" t="inlineStr">
        <is>
          <t>Ras</t>
        </is>
      </c>
      <c r="V26" s="673" t="n"/>
      <c r="W26" s="679" t="n"/>
      <c r="X26" s="930" t="inlineStr">
        <is>
          <t>Barnes</t>
        </is>
      </c>
      <c r="Y26" s="673" t="n"/>
      <c r="Z26" s="678" t="inlineStr">
        <is>
          <t xml:space="preserve">Place </t>
        </is>
      </c>
      <c r="AA26" s="676" t="n"/>
      <c r="AB26" s="981" t="inlineStr">
        <is>
          <t xml:space="preserve">Oosthuizen </t>
        </is>
      </c>
      <c r="AD26" s="676" t="n"/>
      <c r="AE26" s="673" t="n"/>
      <c r="AF26" s="950" t="n"/>
      <c r="AG26" s="872" t="inlineStr">
        <is>
          <t xml:space="preserve">Roux </t>
        </is>
      </c>
      <c r="AH26" s="673" t="n"/>
      <c r="AI26" s="591" t="n"/>
      <c r="AJ26" s="591" t="n"/>
      <c r="AK26" s="591" t="n"/>
      <c r="AL26" s="591" t="n"/>
      <c r="AM26" s="591" t="n"/>
    </row>
    <row r="27" ht="21" customHeight="1" s="562">
      <c r="A27" s="781" t="n">
        <v>46077</v>
      </c>
      <c r="B27" s="782" t="inlineStr">
        <is>
          <t>Tuesday</t>
        </is>
      </c>
      <c r="C27" s="982" t="inlineStr">
        <is>
          <t xml:space="preserve">Johnstons </t>
        </is>
      </c>
      <c r="D27" s="740" t="n"/>
      <c r="E27" s="1002" t="inlineStr">
        <is>
          <t xml:space="preserve">Du Plessis </t>
        </is>
      </c>
      <c r="F27" s="676" t="n"/>
      <c r="G27" s="966" t="inlineStr">
        <is>
          <t xml:space="preserve">Richards </t>
        </is>
      </c>
      <c r="H27" s="591" t="n"/>
      <c r="I27" s="935" t="inlineStr">
        <is>
          <t xml:space="preserve">Klientjie </t>
        </is>
      </c>
      <c r="J27" s="695" t="inlineStr">
        <is>
          <t xml:space="preserve">Bierman </t>
        </is>
      </c>
      <c r="K27" s="712" t="inlineStr">
        <is>
          <t xml:space="preserve">Theron </t>
        </is>
      </c>
      <c r="L27" s="676" t="n"/>
      <c r="M27" s="1003" t="inlineStr">
        <is>
          <t xml:space="preserve">De Waal </t>
        </is>
      </c>
      <c r="N27" s="591" t="n"/>
      <c r="O27" s="673" t="n"/>
      <c r="P27" s="591" t="n"/>
      <c r="Q27" s="714" t="inlineStr">
        <is>
          <t xml:space="preserve">Botes </t>
        </is>
      </c>
      <c r="R27" s="591" t="n"/>
      <c r="S27" s="942" t="inlineStr">
        <is>
          <t xml:space="preserve">Apie </t>
        </is>
      </c>
      <c r="T27" s="960" t="inlineStr">
        <is>
          <t>Papou</t>
        </is>
      </c>
      <c r="U27" s="887" t="inlineStr">
        <is>
          <t>Ras</t>
        </is>
      </c>
      <c r="V27" s="673" t="n"/>
      <c r="W27" s="679" t="n"/>
      <c r="X27" s="936" t="inlineStr">
        <is>
          <t>Barnes</t>
        </is>
      </c>
      <c r="Y27" s="673" t="n"/>
      <c r="Z27" s="688" t="inlineStr">
        <is>
          <t xml:space="preserve">Place </t>
        </is>
      </c>
      <c r="AA27" s="676" t="n"/>
      <c r="AB27" s="986" t="inlineStr">
        <is>
          <t xml:space="preserve">Oosthuizen </t>
        </is>
      </c>
      <c r="AD27" s="676" t="n"/>
      <c r="AE27" s="673" t="n"/>
      <c r="AF27" s="950" t="n"/>
      <c r="AG27" s="877" t="inlineStr">
        <is>
          <t xml:space="preserve">Roux </t>
        </is>
      </c>
      <c r="AH27" s="995" t="inlineStr">
        <is>
          <t>Scholtz</t>
        </is>
      </c>
      <c r="AI27" s="591" t="n"/>
      <c r="AJ27" s="591" t="n"/>
      <c r="AK27" s="591" t="n"/>
      <c r="AL27" s="591" t="n"/>
      <c r="AM27" s="591" t="n"/>
    </row>
    <row r="28" ht="21" customHeight="1" s="562">
      <c r="A28" s="781" t="n">
        <v>46078</v>
      </c>
      <c r="B28" s="782" t="inlineStr">
        <is>
          <t>Wednesday</t>
        </is>
      </c>
      <c r="C28" s="982" t="inlineStr">
        <is>
          <t xml:space="preserve">Johnstons </t>
        </is>
      </c>
      <c r="D28" s="693" t="inlineStr">
        <is>
          <t xml:space="preserve">Theron </t>
        </is>
      </c>
      <c r="E28" s="1002" t="inlineStr">
        <is>
          <t xml:space="preserve">Du Plessis </t>
        </is>
      </c>
      <c r="F28" s="676" t="n"/>
      <c r="G28" s="966" t="inlineStr">
        <is>
          <t xml:space="preserve">Richards </t>
        </is>
      </c>
      <c r="H28" s="1004" t="inlineStr">
        <is>
          <t xml:space="preserve">Wessels </t>
        </is>
      </c>
      <c r="I28" s="935" t="inlineStr">
        <is>
          <t xml:space="preserve">Klientjie </t>
        </is>
      </c>
      <c r="J28" s="695" t="inlineStr">
        <is>
          <t xml:space="preserve">Bierman </t>
        </is>
      </c>
      <c r="K28" s="591" t="n"/>
      <c r="L28" s="676" t="n"/>
      <c r="M28" s="1003" t="inlineStr">
        <is>
          <t xml:space="preserve">De Waal </t>
        </is>
      </c>
      <c r="N28" s="591" t="n"/>
      <c r="O28" s="682" t="inlineStr">
        <is>
          <t xml:space="preserve">Maria Burgum </t>
        </is>
      </c>
      <c r="P28" s="591" t="n"/>
      <c r="Q28" s="714" t="inlineStr">
        <is>
          <t xml:space="preserve">Botes </t>
        </is>
      </c>
      <c r="R28" s="591" t="n"/>
      <c r="S28" s="943" t="inlineStr">
        <is>
          <t xml:space="preserve">Apie </t>
        </is>
      </c>
      <c r="T28" s="960" t="inlineStr">
        <is>
          <t>Papou</t>
        </is>
      </c>
      <c r="U28" s="887" t="inlineStr">
        <is>
          <t>Ras</t>
        </is>
      </c>
      <c r="V28" s="673" t="n"/>
      <c r="W28" s="679" t="n"/>
      <c r="X28" s="936" t="inlineStr">
        <is>
          <t>Barnes</t>
        </is>
      </c>
      <c r="Y28" s="673" t="n"/>
      <c r="Z28" s="688" t="inlineStr">
        <is>
          <t xml:space="preserve">Place </t>
        </is>
      </c>
      <c r="AA28" s="676" t="n"/>
      <c r="AB28" s="986" t="inlineStr">
        <is>
          <t xml:space="preserve">Oosthuizen </t>
        </is>
      </c>
      <c r="AD28" s="676" t="n"/>
      <c r="AE28" s="673" t="n"/>
      <c r="AF28" s="950" t="n"/>
      <c r="AG28" s="965" t="inlineStr">
        <is>
          <t xml:space="preserve">Roux </t>
        </is>
      </c>
      <c r="AH28" s="673" t="n"/>
      <c r="AI28" s="591" t="n"/>
      <c r="AJ28" s="591" t="n"/>
      <c r="AK28" s="591" t="n"/>
      <c r="AL28" s="591" t="n"/>
      <c r="AM28" s="591" t="n"/>
    </row>
    <row r="29" ht="21" customHeight="1" s="562">
      <c r="A29" s="781" t="n">
        <v>46079</v>
      </c>
      <c r="B29" s="782" t="inlineStr">
        <is>
          <t>Thursday</t>
        </is>
      </c>
      <c r="C29" s="982" t="inlineStr">
        <is>
          <t xml:space="preserve">Johnstons </t>
        </is>
      </c>
      <c r="D29" s="699" t="inlineStr">
        <is>
          <t xml:space="preserve">Theron </t>
        </is>
      </c>
      <c r="E29" s="1002" t="inlineStr">
        <is>
          <t xml:space="preserve">Du Plessis </t>
        </is>
      </c>
      <c r="F29" s="1005" t="inlineStr">
        <is>
          <t xml:space="preserve">Apie </t>
        </is>
      </c>
      <c r="G29" s="966" t="inlineStr">
        <is>
          <t xml:space="preserve">Richards </t>
        </is>
      </c>
      <c r="H29" s="988" t="inlineStr">
        <is>
          <t xml:space="preserve">Le Roux </t>
        </is>
      </c>
      <c r="I29" s="935" t="inlineStr">
        <is>
          <t xml:space="preserve">Klientjie </t>
        </is>
      </c>
      <c r="J29" s="695" t="inlineStr">
        <is>
          <t xml:space="preserve">Bierman </t>
        </is>
      </c>
      <c r="K29" s="591" t="n"/>
      <c r="L29" s="676" t="n"/>
      <c r="M29" s="1003" t="inlineStr">
        <is>
          <t xml:space="preserve">De Waal </t>
        </is>
      </c>
      <c r="N29" s="591" t="n"/>
      <c r="O29" s="682" t="inlineStr">
        <is>
          <t xml:space="preserve">Maria Burgum </t>
        </is>
      </c>
      <c r="P29" s="591" t="n"/>
      <c r="Q29" s="714" t="inlineStr">
        <is>
          <t xml:space="preserve">Botes </t>
        </is>
      </c>
      <c r="R29" s="591" t="n"/>
      <c r="S29" s="673" t="n"/>
      <c r="T29" s="960" t="inlineStr">
        <is>
          <t>Papou</t>
        </is>
      </c>
      <c r="U29" s="887" t="inlineStr">
        <is>
          <t>Ras</t>
        </is>
      </c>
      <c r="V29" s="673" t="n"/>
      <c r="W29" s="679" t="n"/>
      <c r="X29" s="936" t="inlineStr">
        <is>
          <t>Barnes</t>
        </is>
      </c>
      <c r="Y29" s="673" t="n"/>
      <c r="Z29" s="724" t="inlineStr">
        <is>
          <t xml:space="preserve">Place </t>
        </is>
      </c>
      <c r="AA29" s="676" t="n"/>
      <c r="AB29" s="1006" t="inlineStr">
        <is>
          <t xml:space="preserve">Oosthuizen </t>
        </is>
      </c>
      <c r="AC29" s="1007" t="inlineStr">
        <is>
          <t>Scroope</t>
        </is>
      </c>
      <c r="AD29" s="591" t="n"/>
      <c r="AE29" s="673" t="n"/>
      <c r="AF29" s="950" t="n"/>
      <c r="AG29" s="950" t="n"/>
      <c r="AH29" s="995" t="inlineStr">
        <is>
          <t>Scholtz</t>
        </is>
      </c>
      <c r="AI29" s="591" t="n"/>
      <c r="AJ29" s="591" t="n"/>
      <c r="AK29" s="591" t="n"/>
      <c r="AL29" s="591" t="n"/>
      <c r="AM29" s="591" t="n"/>
    </row>
    <row r="30" ht="21" customHeight="1" s="562">
      <c r="A30" s="781" t="n">
        <v>46080</v>
      </c>
      <c r="B30" s="782" t="inlineStr">
        <is>
          <t>Friday</t>
        </is>
      </c>
      <c r="C30" s="991" t="inlineStr">
        <is>
          <t xml:space="preserve">Johnstons </t>
        </is>
      </c>
      <c r="D30" s="699" t="inlineStr">
        <is>
          <t xml:space="preserve">Theron </t>
        </is>
      </c>
      <c r="E30" s="1008" t="inlineStr">
        <is>
          <t xml:space="preserve">Du Plessis </t>
        </is>
      </c>
      <c r="F30" s="996" t="inlineStr">
        <is>
          <t xml:space="preserve">Apie </t>
        </is>
      </c>
      <c r="G30" s="970" t="inlineStr">
        <is>
          <t xml:space="preserve">Richards </t>
        </is>
      </c>
      <c r="H30" s="993" t="inlineStr">
        <is>
          <t>Webb</t>
        </is>
      </c>
      <c r="I30" s="935" t="inlineStr">
        <is>
          <t xml:space="preserve">Klientjie </t>
        </is>
      </c>
      <c r="J30" s="686" t="inlineStr">
        <is>
          <t xml:space="preserve">Bierman </t>
        </is>
      </c>
      <c r="K30" s="591" t="n"/>
      <c r="L30" s="676" t="n"/>
      <c r="M30" s="1003" t="inlineStr">
        <is>
          <t xml:space="preserve">De Waal </t>
        </is>
      </c>
      <c r="N30" s="591" t="n"/>
      <c r="O30" s="682" t="inlineStr">
        <is>
          <t xml:space="preserve">Maria Burgum </t>
        </is>
      </c>
      <c r="P30" s="591" t="n"/>
      <c r="Q30" s="721" t="inlineStr">
        <is>
          <t xml:space="preserve">Botes </t>
        </is>
      </c>
      <c r="R30" s="591" t="n"/>
      <c r="S30" s="673" t="n"/>
      <c r="T30" s="960" t="inlineStr">
        <is>
          <t>Papou</t>
        </is>
      </c>
      <c r="U30" s="887" t="inlineStr">
        <is>
          <t>Ras</t>
        </is>
      </c>
      <c r="V30" s="673" t="n"/>
      <c r="W30" s="679" t="n"/>
      <c r="X30" s="946" t="inlineStr">
        <is>
          <t>Barnes</t>
        </is>
      </c>
      <c r="Y30" s="673" t="n"/>
      <c r="Z30" s="679" t="n"/>
      <c r="AA30" s="676" t="n"/>
      <c r="AB30" s="1009" t="inlineStr">
        <is>
          <t xml:space="preserve">Oosthuizen </t>
        </is>
      </c>
      <c r="AC30" s="1010" t="inlineStr">
        <is>
          <t>Scroope</t>
        </is>
      </c>
      <c r="AD30" s="591" t="n"/>
      <c r="AE30" s="673" t="n"/>
      <c r="AF30" s="950" t="n"/>
      <c r="AG30" s="974" t="inlineStr">
        <is>
          <t xml:space="preserve">Roux </t>
        </is>
      </c>
      <c r="AH30" s="757" t="n"/>
      <c r="AI30" s="591" t="n"/>
      <c r="AJ30" s="591" t="n"/>
      <c r="AK30" s="591" t="n"/>
      <c r="AL30" s="591" t="n"/>
      <c r="AM30" s="591" t="n"/>
    </row>
    <row r="31" ht="21" customHeight="1" s="562">
      <c r="A31" s="781" t="n">
        <v>46081</v>
      </c>
      <c r="B31" s="782" t="inlineStr">
        <is>
          <t>Saturday</t>
        </is>
      </c>
      <c r="C31" s="676" t="n"/>
      <c r="D31" s="712" t="inlineStr">
        <is>
          <t xml:space="preserve">Theron </t>
        </is>
      </c>
      <c r="E31" s="591" t="n"/>
      <c r="F31" s="943" t="inlineStr">
        <is>
          <t xml:space="preserve">Apie </t>
        </is>
      </c>
      <c r="G31" s="970" t="inlineStr">
        <is>
          <t xml:space="preserve">Richards </t>
        </is>
      </c>
      <c r="H31" s="676" t="n"/>
      <c r="I31" s="985" t="inlineStr">
        <is>
          <t xml:space="preserve">Klientjie </t>
        </is>
      </c>
      <c r="J31" s="673" t="n"/>
      <c r="K31" s="591" t="n"/>
      <c r="L31" s="676" t="n"/>
      <c r="M31" s="1011" t="inlineStr">
        <is>
          <t xml:space="preserve">De Waal </t>
        </is>
      </c>
      <c r="N31" s="591" t="n"/>
      <c r="O31" s="673" t="n"/>
      <c r="P31" s="591" t="n"/>
      <c r="Q31" s="673" t="n"/>
      <c r="R31" s="591" t="n"/>
      <c r="S31" s="673" t="n"/>
      <c r="T31" s="976" t="inlineStr">
        <is>
          <t>Papou</t>
        </is>
      </c>
      <c r="U31" s="806" t="inlineStr">
        <is>
          <t>Ras</t>
        </is>
      </c>
      <c r="V31" s="673" t="n"/>
      <c r="W31" s="679" t="n"/>
      <c r="X31" s="591" t="n"/>
      <c r="Y31" s="795" t="n"/>
      <c r="Z31" s="679" t="n"/>
      <c r="AA31" s="676" t="n"/>
      <c r="AB31" s="676" t="n"/>
      <c r="AC31" s="1012" t="inlineStr">
        <is>
          <t>Scroope</t>
        </is>
      </c>
      <c r="AD31" s="591" t="n"/>
      <c r="AE31" s="876" t="n"/>
      <c r="AF31" s="950" t="n"/>
      <c r="AG31" s="950" t="n"/>
      <c r="AH31" s="673" t="n"/>
      <c r="AI31" s="591" t="n"/>
      <c r="AJ31" s="591" t="n"/>
      <c r="AK31" s="591" t="n"/>
      <c r="AL31" s="591" t="n"/>
      <c r="AM31" s="591" t="n"/>
    </row>
    <row r="32" ht="19.5" customHeight="1" s="562">
      <c r="A32" s="781" t="n"/>
      <c r="B32" s="782" t="n"/>
      <c r="C32" s="676" t="n"/>
      <c r="D32" s="1013" t="n"/>
      <c r="E32" s="591" t="n"/>
      <c r="F32" s="673" t="n"/>
      <c r="G32" s="591" t="n"/>
      <c r="H32" s="676" t="n"/>
      <c r="I32" s="676" t="n"/>
      <c r="J32" s="673" t="n"/>
      <c r="K32" s="591" t="n"/>
      <c r="L32" s="676" t="n"/>
      <c r="M32" s="673" t="n"/>
      <c r="N32" s="591" t="n"/>
      <c r="O32" s="673" t="n"/>
      <c r="P32" s="591" t="n"/>
      <c r="Q32" s="673" t="n"/>
      <c r="R32" s="591" t="n"/>
      <c r="S32" s="673" t="n"/>
      <c r="T32" s="591" t="n"/>
      <c r="U32" s="676" t="n"/>
      <c r="V32" s="673" t="n"/>
      <c r="W32" s="679" t="n"/>
      <c r="X32" s="591" t="n"/>
      <c r="Y32" s="795" t="n"/>
      <c r="Z32" s="679" t="n"/>
      <c r="AA32" s="676" t="n"/>
      <c r="AB32" s="673" t="n"/>
      <c r="AD32" s="676" t="n"/>
      <c r="AE32" s="876" t="n"/>
      <c r="AF32" s="950" t="n"/>
      <c r="AG32" s="950" t="n"/>
      <c r="AH32" s="673" t="n"/>
      <c r="AI32" s="591" t="n"/>
      <c r="AJ32" s="591" t="n"/>
      <c r="AK32" s="591" t="n"/>
      <c r="AL32" s="591" t="n"/>
      <c r="AM32" s="591" t="n"/>
    </row>
    <row r="33" ht="19.5" customHeight="1" s="562">
      <c r="A33" s="781" t="n"/>
      <c r="B33" s="782" t="n"/>
      <c r="C33" s="676" t="n"/>
      <c r="D33" s="733" t="n"/>
      <c r="E33" s="591" t="n"/>
      <c r="F33" s="673" t="n"/>
      <c r="G33" s="591" t="n"/>
      <c r="H33" s="676" t="n"/>
      <c r="I33" s="676" t="n"/>
      <c r="J33" s="673" t="n"/>
      <c r="K33" s="591" t="n"/>
      <c r="L33" s="676" t="n"/>
      <c r="M33" s="673" t="n"/>
      <c r="N33" s="591" t="n"/>
      <c r="O33" s="673" t="n"/>
      <c r="P33" s="591" t="n"/>
      <c r="Q33" s="673" t="n"/>
      <c r="R33" s="591" t="n"/>
      <c r="S33" s="673" t="n"/>
      <c r="T33" s="591" t="n"/>
      <c r="U33" s="676" t="n"/>
      <c r="V33" s="673" t="n"/>
      <c r="W33" s="679" t="n"/>
      <c r="X33" s="591" t="n"/>
      <c r="Y33" s="795" t="n"/>
      <c r="Z33" s="679" t="n"/>
      <c r="AA33" s="676" t="n"/>
      <c r="AB33" s="673" t="n"/>
      <c r="AD33" s="676" t="n"/>
      <c r="AE33" s="876" t="n"/>
      <c r="AF33" s="950" t="n"/>
      <c r="AG33" s="950" t="n"/>
      <c r="AH33" s="673" t="n"/>
      <c r="AI33" s="591" t="n"/>
      <c r="AJ33" s="591" t="n"/>
      <c r="AK33" s="591" t="n"/>
      <c r="AL33" s="591" t="n"/>
      <c r="AM33" s="591" t="n"/>
    </row>
    <row r="34" ht="21" customHeight="1" s="562">
      <c r="A34" s="781" t="n"/>
      <c r="B34" s="782" t="n"/>
      <c r="C34" s="715" t="n"/>
      <c r="D34" s="741" t="n"/>
      <c r="E34" s="837" t="n"/>
      <c r="F34" s="746" t="n"/>
      <c r="G34" s="837" t="n"/>
      <c r="H34" s="715" t="n"/>
      <c r="I34" s="715" t="n"/>
      <c r="J34" s="746" t="n"/>
      <c r="K34" s="591" t="n"/>
      <c r="L34" s="715" t="n"/>
      <c r="M34" s="746" t="n"/>
      <c r="N34" s="837" t="n"/>
      <c r="O34" s="746" t="n"/>
      <c r="P34" s="837" t="n"/>
      <c r="Q34" s="746" t="n"/>
      <c r="R34" s="837" t="n"/>
      <c r="S34" s="746" t="n"/>
      <c r="T34" s="837" t="n"/>
      <c r="U34" s="715" t="n"/>
      <c r="V34" s="746" t="n"/>
      <c r="W34" s="840" t="n"/>
      <c r="X34" s="1014" t="n"/>
      <c r="Y34" s="1015" t="n"/>
      <c r="Z34" s="840" t="n"/>
      <c r="AA34" s="715" t="n"/>
      <c r="AB34" s="746" t="n"/>
      <c r="AC34" s="1014" t="n"/>
      <c r="AD34" s="715" t="n"/>
      <c r="AE34" s="896" t="n"/>
      <c r="AF34" s="1016" t="n"/>
      <c r="AG34" s="1016" t="n"/>
      <c r="AH34" s="673" t="n"/>
      <c r="AI34" s="591" t="n"/>
      <c r="AJ34" s="591" t="n"/>
      <c r="AK34" s="591" t="n"/>
      <c r="AL34" s="591" t="n"/>
      <c r="AM34" s="591" t="n"/>
    </row>
    <row r="35" ht="19.5" customFormat="1" customHeight="1" s="1017">
      <c r="A35" s="748" t="inlineStr">
        <is>
          <t xml:space="preserve">Days Worked </t>
        </is>
      </c>
      <c r="B35" s="749" t="n"/>
      <c r="C35" s="755" t="n">
        <v>19</v>
      </c>
      <c r="D35" s="755" t="n">
        <v>16</v>
      </c>
      <c r="E35" s="755" t="n"/>
      <c r="F35" s="755" t="n">
        <v>16</v>
      </c>
      <c r="G35" s="755" t="n">
        <v>17</v>
      </c>
      <c r="H35" s="755" t="n">
        <v>11</v>
      </c>
      <c r="I35" s="755" t="n">
        <v>20</v>
      </c>
      <c r="J35" s="755" t="n">
        <v>20</v>
      </c>
      <c r="K35" s="752" t="n">
        <v>7</v>
      </c>
      <c r="L35" s="755" t="n">
        <v>7</v>
      </c>
      <c r="M35" s="755" t="n">
        <v>7</v>
      </c>
      <c r="N35" s="842" t="n"/>
      <c r="O35" s="755" t="n">
        <v>8</v>
      </c>
      <c r="P35" s="843" t="n"/>
      <c r="Q35" s="755" t="n">
        <v>21</v>
      </c>
      <c r="R35" s="755" t="n"/>
      <c r="S35" s="755" t="n">
        <v>12</v>
      </c>
      <c r="T35" s="842" t="n">
        <v>14</v>
      </c>
      <c r="U35" s="755" t="n">
        <v>18</v>
      </c>
      <c r="V35" s="755" t="n">
        <v>5</v>
      </c>
      <c r="W35" s="755" t="n"/>
      <c r="X35" s="755" t="n">
        <v>20</v>
      </c>
      <c r="Y35" s="755" t="n"/>
      <c r="Z35" s="755" t="n">
        <v>12</v>
      </c>
      <c r="AA35" s="752" t="n">
        <v>14</v>
      </c>
      <c r="AB35" s="755" t="n">
        <v>10</v>
      </c>
      <c r="AC35" s="752" t="n">
        <v>10</v>
      </c>
      <c r="AD35" s="755" t="n">
        <v>1</v>
      </c>
      <c r="AE35" s="1018" t="n">
        <v>8</v>
      </c>
      <c r="AF35" s="1018" t="n">
        <v>3</v>
      </c>
      <c r="AG35" s="1018" t="n">
        <v>11</v>
      </c>
      <c r="AH35" s="752" t="n">
        <v>3</v>
      </c>
      <c r="AI35" s="756" t="n"/>
      <c r="AJ35" s="756" t="n"/>
      <c r="AK35" s="756" t="n"/>
      <c r="AL35" s="756" t="n"/>
      <c r="AM35" s="756" t="n"/>
    </row>
    <row r="36" ht="18.75" customHeight="1" s="562">
      <c r="A36" s="897" t="inlineStr">
        <is>
          <t xml:space="preserve">Money added </t>
        </is>
      </c>
      <c r="B36" s="637" t="n"/>
      <c r="C36" s="755" t="n"/>
      <c r="D36" s="755" t="n">
        <v>250</v>
      </c>
      <c r="E36" s="755" t="n"/>
      <c r="F36" s="755" t="n"/>
      <c r="G36" s="755" t="n"/>
      <c r="H36" s="755" t="n"/>
      <c r="I36" s="755" t="n"/>
      <c r="J36" s="755" t="n"/>
      <c r="K36" s="752" t="n"/>
      <c r="L36" s="755" t="n">
        <v>3500</v>
      </c>
      <c r="M36" s="898" t="n"/>
      <c r="N36" s="842" t="n"/>
      <c r="O36" s="755" t="n"/>
      <c r="P36" s="843" t="n"/>
      <c r="Q36" s="755" t="n"/>
      <c r="R36" s="755" t="n"/>
      <c r="S36" s="755" t="n"/>
      <c r="T36" s="842" t="n"/>
      <c r="U36" s="752" t="n"/>
      <c r="V36" s="844" t="n"/>
      <c r="W36" s="757" t="n"/>
      <c r="X36" s="898" t="n"/>
      <c r="Y36" s="898" t="n"/>
      <c r="Z36" s="898" t="n"/>
      <c r="AA36" s="757" t="n"/>
      <c r="AB36" s="757" t="n"/>
      <c r="AC36" s="898" t="n"/>
      <c r="AD36" s="757" t="n"/>
      <c r="AE36" s="898" t="n"/>
      <c r="AF36" s="898" t="n"/>
      <c r="AG36" s="898" t="n"/>
      <c r="AH36" s="898" t="n"/>
      <c r="AI36" s="591" t="n"/>
      <c r="AJ36" s="591" t="n"/>
      <c r="AK36" s="591" t="n"/>
      <c r="AL36" s="591" t="n"/>
      <c r="AM36" s="591" t="n"/>
    </row>
    <row r="37" ht="18.75" customHeight="1" s="562">
      <c r="A37" s="757" t="inlineStr">
        <is>
          <t xml:space="preserve">Money Borrowed </t>
        </is>
      </c>
      <c r="B37" s="757" t="n"/>
      <c r="C37" s="757" t="n"/>
      <c r="D37" s="757" t="n"/>
      <c r="E37" s="757" t="n"/>
      <c r="F37" s="757" t="n"/>
      <c r="G37" s="757" t="n">
        <v>500</v>
      </c>
      <c r="H37" s="757" t="n"/>
      <c r="I37" s="757" t="n"/>
      <c r="J37" s="757" t="n"/>
      <c r="K37" s="757" t="n"/>
      <c r="L37" s="757" t="n"/>
      <c r="M37" s="755" t="n">
        <v>450</v>
      </c>
      <c r="N37" s="757" t="n"/>
      <c r="O37" s="757" t="n">
        <v>450</v>
      </c>
      <c r="P37" s="757" t="n"/>
      <c r="Q37" s="758" t="n">
        <v>1000</v>
      </c>
      <c r="R37" s="757" t="n"/>
      <c r="S37" s="757" t="n">
        <v>2500</v>
      </c>
      <c r="T37" s="847" t="n">
        <v>450</v>
      </c>
      <c r="U37" s="673" t="n">
        <v>500</v>
      </c>
      <c r="V37" s="848" t="n">
        <v>450</v>
      </c>
      <c r="W37" s="757" t="n"/>
      <c r="X37" s="898" t="n"/>
      <c r="Y37" s="898" t="n"/>
      <c r="Z37" s="898" t="n"/>
      <c r="AA37" s="757" t="n"/>
      <c r="AB37" s="757" t="n">
        <v>1000</v>
      </c>
      <c r="AC37" s="898" t="n">
        <v>150</v>
      </c>
      <c r="AD37" s="757" t="n"/>
      <c r="AE37" s="898" t="n"/>
      <c r="AF37" s="898" t="n">
        <v>450</v>
      </c>
      <c r="AG37" s="898" t="n"/>
      <c r="AH37" s="757" t="n"/>
      <c r="AI37" s="591" t="n"/>
      <c r="AJ37" s="591" t="n"/>
      <c r="AK37" s="591" t="n"/>
      <c r="AL37" s="591" t="n"/>
      <c r="AM37" s="591" t="n"/>
    </row>
    <row r="38" ht="24" customHeight="1" s="562">
      <c r="A38" s="899" t="inlineStr">
        <is>
          <t>Total Amount</t>
        </is>
      </c>
      <c r="B38" s="900">
        <f>SUM(C38:AJ38)</f>
        <v/>
      </c>
      <c r="C38" s="901">
        <f>C2*C35</f>
        <v/>
      </c>
      <c r="D38" s="901">
        <f>D2*D35+D36</f>
        <v/>
      </c>
      <c r="E38" s="901" t="n">
        <v>8900</v>
      </c>
      <c r="F38" s="901">
        <f>F35*F2-F37</f>
        <v/>
      </c>
      <c r="G38" s="901">
        <f>G35*G2-G37</f>
        <v/>
      </c>
      <c r="H38" s="901">
        <f>H2*H35</f>
        <v/>
      </c>
      <c r="I38" s="901">
        <f>I2*I35</f>
        <v/>
      </c>
      <c r="J38" s="901">
        <f>J2*J35+J36</f>
        <v/>
      </c>
      <c r="K38" s="901">
        <f>K2*K35</f>
        <v/>
      </c>
      <c r="L38" s="901">
        <f>L2*L35+L36</f>
        <v/>
      </c>
      <c r="M38" s="1019">
        <f>M2*M35-M37</f>
        <v/>
      </c>
      <c r="N38" s="853">
        <f>N2*N35</f>
        <v/>
      </c>
      <c r="O38" s="1019">
        <f>O2*O35-O37</f>
        <v/>
      </c>
      <c r="P38" s="853">
        <f>P2*P35-P37</f>
        <v/>
      </c>
      <c r="Q38" s="1019">
        <f>Q2*Q35-Q37</f>
        <v/>
      </c>
      <c r="R38" s="853">
        <f>R2*R35</f>
        <v/>
      </c>
      <c r="S38" s="1019">
        <f>S2*S35-S37</f>
        <v/>
      </c>
      <c r="T38" s="1020">
        <f>T2*T35-T37</f>
        <v/>
      </c>
      <c r="U38" s="1019">
        <f>SUM(U2*U35-U37)</f>
        <v/>
      </c>
      <c r="V38" s="1019">
        <f>V2*V35-V37</f>
        <v/>
      </c>
      <c r="W38" s="1021" t="n"/>
      <c r="X38" s="1022">
        <f>X2*X35</f>
        <v/>
      </c>
      <c r="Y38" s="1021" t="n"/>
      <c r="Z38" s="1022">
        <f>Z2*Z35</f>
        <v/>
      </c>
      <c r="AA38" s="1022">
        <f>AA2*AA35</f>
        <v/>
      </c>
      <c r="AB38" s="1022">
        <f>AB2*AB35-AB37</f>
        <v/>
      </c>
      <c r="AC38" s="1022">
        <f>AC2*AC35-AC37</f>
        <v/>
      </c>
      <c r="AD38" s="1022">
        <f>AD2*AD35</f>
        <v/>
      </c>
      <c r="AE38" s="1022">
        <f>AE2*AE35</f>
        <v/>
      </c>
      <c r="AF38" s="1022">
        <f>AF2*AF35-AF37</f>
        <v/>
      </c>
      <c r="AG38" s="1022">
        <f>AG2*AG35</f>
        <v/>
      </c>
      <c r="AH38" s="1022">
        <f>AH2*AH35</f>
        <v/>
      </c>
      <c r="AI38" s="591" t="n"/>
      <c r="AJ38" s="591" t="n"/>
      <c r="AK38" s="591" t="n"/>
      <c r="AL38" s="591" t="n"/>
      <c r="AM38" s="591" t="n"/>
    </row>
    <row r="39" ht="18" customHeight="1" s="562">
      <c r="A39" s="1023" t="n"/>
      <c r="B39" s="1023" t="n"/>
      <c r="C39" s="623" t="n"/>
      <c r="D39" s="623" t="n"/>
      <c r="E39" s="623" t="n"/>
      <c r="F39" s="623" t="n"/>
      <c r="G39" s="623" t="n"/>
      <c r="H39" s="623" t="n"/>
      <c r="I39" s="623" t="n"/>
      <c r="J39" s="623" t="n"/>
      <c r="K39" s="623" t="n"/>
      <c r="L39" s="623" t="n"/>
      <c r="M39" s="623" t="n"/>
      <c r="N39" s="623" t="n"/>
      <c r="O39" s="623" t="n"/>
      <c r="P39" s="623" t="n"/>
      <c r="Q39" s="623" t="n"/>
      <c r="R39" s="623" t="n"/>
      <c r="S39" s="623" t="n"/>
      <c r="T39" s="623" t="n"/>
      <c r="U39" s="623" t="n"/>
      <c r="V39" s="1024" t="n"/>
      <c r="W39" s="1023" t="n"/>
      <c r="X39" s="1023" t="n"/>
    </row>
    <row r="40" ht="18" customHeight="1" s="562">
      <c r="A40" s="1023" t="n"/>
      <c r="B40" s="1023" t="n"/>
      <c r="C40" s="623" t="n"/>
      <c r="D40" s="623" t="n"/>
      <c r="E40" s="623" t="n"/>
      <c r="F40" s="623" t="n"/>
      <c r="G40" s="623" t="n"/>
      <c r="H40" s="623" t="n"/>
      <c r="I40" s="623" t="n"/>
      <c r="J40" s="623" t="n"/>
      <c r="K40" s="623" t="n"/>
      <c r="L40" s="623" t="n"/>
      <c r="M40" s="623" t="n"/>
      <c r="N40" s="623" t="n"/>
      <c r="O40" s="623" t="n"/>
      <c r="P40" s="623" t="n"/>
      <c r="Q40" s="623" t="n"/>
      <c r="R40" s="623" t="n"/>
      <c r="S40" s="623" t="n"/>
      <c r="T40" s="623" t="n"/>
      <c r="U40" s="623" t="n"/>
      <c r="V40" s="1024" t="n"/>
      <c r="W40" s="1023" t="n"/>
      <c r="X40" s="1023" t="n"/>
    </row>
    <row r="41" ht="18" customHeight="1" s="562">
      <c r="A41" s="1025" t="n"/>
      <c r="B41" s="626" t="n"/>
      <c r="C41" s="623" t="n"/>
      <c r="D41" s="626" t="n"/>
      <c r="E41" s="623" t="n"/>
      <c r="F41" s="623" t="n"/>
      <c r="G41" s="623" t="n"/>
      <c r="H41" s="623" t="n"/>
      <c r="I41" s="623" t="n"/>
      <c r="J41" s="623" t="n"/>
      <c r="K41" s="623" t="n"/>
      <c r="L41" s="623" t="n"/>
      <c r="M41" s="623" t="n"/>
      <c r="N41" s="623" t="n"/>
      <c r="O41" s="623" t="n"/>
      <c r="P41" s="623" t="n"/>
      <c r="Q41" s="623" t="n"/>
      <c r="R41" s="623" t="n"/>
      <c r="S41" s="623" t="n"/>
      <c r="T41" s="623" t="n"/>
      <c r="U41" s="623" t="n"/>
      <c r="V41" s="1024" t="n"/>
      <c r="W41" s="1023" t="n"/>
      <c r="X41" s="1023" t="n"/>
    </row>
    <row r="42" ht="18.75" customHeight="1" s="562">
      <c r="A42" s="1026" t="n"/>
      <c r="B42" s="626" t="n"/>
      <c r="C42" s="623" t="n"/>
      <c r="D42" s="623" t="n"/>
      <c r="E42" s="623" t="n"/>
      <c r="F42" s="623" t="n"/>
      <c r="G42" s="623" t="n"/>
      <c r="H42" s="623" t="n"/>
      <c r="I42" s="623" t="n"/>
      <c r="J42" s="623" t="n"/>
      <c r="K42" s="623" t="n"/>
      <c r="L42" s="623" t="n"/>
      <c r="M42" s="623" t="n"/>
      <c r="N42" s="623" t="n"/>
      <c r="O42" s="623" t="n"/>
      <c r="P42" s="623" t="n"/>
      <c r="Q42" s="623" t="n"/>
      <c r="R42" s="623" t="n"/>
      <c r="S42" s="623" t="n"/>
      <c r="T42" s="623" t="n"/>
      <c r="U42" s="623" t="n"/>
      <c r="V42" s="1024" t="n"/>
      <c r="W42" s="1023" t="n"/>
      <c r="X42" s="1023" t="n"/>
    </row>
    <row r="43" ht="18.75" customHeight="1" s="562">
      <c r="B43" s="1027" t="n"/>
    </row>
  </sheetData>
  <mergeCells count="1">
    <mergeCell ref="A36:B3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X132"/>
  <sheetViews>
    <sheetView showFormulas="0" showGridLines="1" showRowColHeaders="1" showZeros="1" rightToLeft="0" tabSelected="0" showOutlineSymbols="1" defaultGridColor="1" view="normal" topLeftCell="A88" colorId="64" zoomScale="60" zoomScaleNormal="60" zoomScalePageLayoutView="100" workbookViewId="0">
      <selection pane="topLeft" activeCell="Z122" activeCellId="0" sqref="Z122"/>
    </sheetView>
  </sheetViews>
  <sheetFormatPr baseColWidth="8" defaultColWidth="10.4921875" defaultRowHeight="15.75" customHeight="0" zeroHeight="0" outlineLevelRow="0"/>
  <cols>
    <col width="26.5" customWidth="1" style="561" min="1" max="1"/>
    <col width="18.16" customWidth="1" style="561" min="2" max="2"/>
    <col width="14.33" customWidth="1" style="561" min="3" max="3"/>
    <col width="14.33" customWidth="1" style="561" min="5" max="5"/>
    <col width="22" customWidth="1" style="561" min="6" max="6"/>
    <col width="14.33" customWidth="1" style="561" min="7" max="7"/>
    <col width="11.16" customWidth="1" style="561" min="9" max="9"/>
    <col width="18.16" customWidth="1" style="561" min="10" max="10"/>
    <col width="14.33" customWidth="1" style="561" min="11" max="11"/>
    <col width="13.5" customWidth="1" style="561" min="13" max="13"/>
    <col width="14.33" customWidth="1" style="561" min="15" max="15"/>
    <col width="11.16" customWidth="1" style="561" min="17" max="17"/>
    <col width="22" customWidth="1" style="561" min="18" max="18"/>
    <col width="14.33" customWidth="1" style="561" min="19" max="19"/>
    <col width="14.33" customWidth="1" style="561" min="21" max="21"/>
    <col width="18.16" customWidth="1" style="561" min="22" max="22"/>
    <col width="14.33" customWidth="1" style="561" min="23" max="23"/>
    <col width="20" customWidth="1" style="561" min="24" max="24"/>
  </cols>
  <sheetData>
    <row r="1" ht="18.75" customHeight="1" s="562">
      <c r="A1" s="1028" t="inlineStr">
        <is>
          <t>Johnstons- monthly</t>
        </is>
      </c>
      <c r="B1" s="617" t="n"/>
      <c r="C1" s="637" t="n"/>
      <c r="D1" s="591" t="n"/>
      <c r="E1" s="1028" t="inlineStr">
        <is>
          <t>Van Der Linde- monthly</t>
        </is>
      </c>
      <c r="F1" s="617" t="n"/>
      <c r="G1" s="637" t="n"/>
      <c r="H1" s="591" t="n"/>
      <c r="I1" s="1029" t="inlineStr">
        <is>
          <t>John Bierman- monthly</t>
        </is>
      </c>
      <c r="J1" s="617" t="n"/>
      <c r="K1" s="637" t="n"/>
      <c r="L1" s="591" t="n"/>
      <c r="M1" s="1029" t="inlineStr">
        <is>
          <t>Scroope</t>
        </is>
      </c>
      <c r="N1" s="617" t="n"/>
      <c r="O1" s="637" t="n"/>
      <c r="P1" s="591" t="n"/>
      <c r="Q1" s="1028" t="inlineStr">
        <is>
          <t>Trevor Botes- monthly</t>
        </is>
      </c>
      <c r="R1" s="617" t="n"/>
      <c r="S1" s="637" t="n"/>
      <c r="U1" s="1029" t="inlineStr">
        <is>
          <t>Dirk Le Roux- monthly</t>
        </is>
      </c>
      <c r="V1" s="617" t="n"/>
      <c r="W1" s="637" t="n"/>
    </row>
    <row r="2" ht="18.75" customHeight="1" s="562">
      <c r="A2" s="616" t="inlineStr">
        <is>
          <t xml:space="preserve">Income </t>
        </is>
      </c>
      <c r="B2" s="617" t="n"/>
      <c r="C2" s="618" t="n"/>
      <c r="D2" s="591" t="n"/>
      <c r="E2" s="616" t="inlineStr">
        <is>
          <t xml:space="preserve">Income </t>
        </is>
      </c>
      <c r="F2" s="617" t="n"/>
      <c r="G2" s="618" t="n"/>
      <c r="H2" s="591" t="n"/>
      <c r="I2" s="619" t="inlineStr">
        <is>
          <t xml:space="preserve">Income </t>
        </is>
      </c>
      <c r="J2" s="617" t="n"/>
      <c r="K2" s="618" t="n"/>
      <c r="L2" s="591" t="n"/>
      <c r="M2" s="619" t="inlineStr">
        <is>
          <t xml:space="preserve">Income </t>
        </is>
      </c>
      <c r="N2" s="617" t="n"/>
      <c r="O2" s="618" t="n"/>
      <c r="P2" s="591" t="n"/>
      <c r="Q2" s="616" t="inlineStr">
        <is>
          <t xml:space="preserve">Income </t>
        </is>
      </c>
      <c r="R2" s="617" t="n"/>
      <c r="S2" s="618" t="n"/>
      <c r="U2" s="619" t="inlineStr">
        <is>
          <t xml:space="preserve">Income </t>
        </is>
      </c>
      <c r="V2" s="617" t="n"/>
      <c r="W2" s="618" t="n"/>
    </row>
    <row r="3" ht="18" customHeight="1" s="562">
      <c r="A3" s="620" t="inlineStr">
        <is>
          <t>Date:</t>
        </is>
      </c>
      <c r="B3" s="591" t="n"/>
      <c r="C3" s="621" t="inlineStr">
        <is>
          <t xml:space="preserve">Payment </t>
        </is>
      </c>
      <c r="D3" s="591" t="n"/>
      <c r="E3" s="620" t="inlineStr">
        <is>
          <t>Date:</t>
        </is>
      </c>
      <c r="F3" s="591" t="n"/>
      <c r="G3" s="621" t="inlineStr">
        <is>
          <t xml:space="preserve">Payment </t>
        </is>
      </c>
      <c r="H3" s="591" t="n"/>
      <c r="I3" s="622" t="inlineStr">
        <is>
          <t>Date:</t>
        </is>
      </c>
      <c r="J3" s="623" t="n"/>
      <c r="K3" s="624" t="inlineStr">
        <is>
          <t xml:space="preserve">Payment </t>
        </is>
      </c>
      <c r="L3" s="591" t="n"/>
      <c r="M3" s="622" t="inlineStr">
        <is>
          <t>Date:</t>
        </is>
      </c>
      <c r="N3" s="623" t="n"/>
      <c r="O3" s="624" t="inlineStr">
        <is>
          <t xml:space="preserve">Payment </t>
        </is>
      </c>
      <c r="P3" s="591" t="n"/>
      <c r="Q3" s="620" t="inlineStr">
        <is>
          <t>Date:</t>
        </is>
      </c>
      <c r="R3" s="591" t="n"/>
      <c r="S3" s="621" t="inlineStr">
        <is>
          <t xml:space="preserve">Payment </t>
        </is>
      </c>
      <c r="U3" s="622" t="inlineStr">
        <is>
          <t>Date:</t>
        </is>
      </c>
      <c r="V3" s="623" t="n"/>
      <c r="W3" s="624" t="inlineStr">
        <is>
          <t xml:space="preserve">Payment </t>
        </is>
      </c>
    </row>
    <row r="4" ht="18" customHeight="1" s="562">
      <c r="A4" s="625" t="n">
        <v>46082</v>
      </c>
      <c r="B4" s="766" t="inlineStr">
        <is>
          <t>Invoiced NPC</t>
        </is>
      </c>
      <c r="C4" s="601" t="n">
        <v>24800</v>
      </c>
      <c r="D4" s="591" t="n"/>
      <c r="E4" s="625" t="n">
        <v>46082</v>
      </c>
      <c r="F4" s="766" t="inlineStr">
        <is>
          <t>Invoiced NPC</t>
        </is>
      </c>
      <c r="G4" s="601" t="n">
        <v>22200</v>
      </c>
      <c r="H4" s="591" t="n"/>
      <c r="I4" s="625" t="n">
        <v>46082</v>
      </c>
      <c r="J4" s="766" t="inlineStr">
        <is>
          <t>Invoiced TCH</t>
        </is>
      </c>
      <c r="K4" s="627" t="n">
        <v>17000</v>
      </c>
      <c r="L4" s="591" t="n"/>
      <c r="M4" s="628" t="n"/>
      <c r="N4" s="766" t="n"/>
      <c r="O4" s="627" t="n"/>
      <c r="P4" s="591" t="n"/>
      <c r="Q4" s="625" t="n">
        <v>46082</v>
      </c>
      <c r="R4" s="766" t="inlineStr">
        <is>
          <t xml:space="preserve">invoiced </t>
        </is>
      </c>
      <c r="S4" s="601" t="n">
        <v>17250</v>
      </c>
      <c r="U4" s="628" t="n">
        <v>46082</v>
      </c>
      <c r="V4" s="766" t="inlineStr">
        <is>
          <t>invoiced TCH</t>
        </is>
      </c>
      <c r="W4" s="627" t="n">
        <v>3000</v>
      </c>
    </row>
    <row r="5" ht="18" customHeight="1" s="562">
      <c r="A5" s="625" t="n"/>
      <c r="B5" s="609" t="n"/>
      <c r="C5" s="601" t="n"/>
      <c r="D5" s="591" t="n"/>
      <c r="E5" s="625" t="n"/>
      <c r="F5" s="609" t="n"/>
      <c r="G5" s="601" t="n"/>
      <c r="H5" s="591" t="n"/>
      <c r="I5" s="625" t="n"/>
      <c r="J5" s="626" t="n"/>
      <c r="K5" s="627" t="n"/>
      <c r="L5" s="591" t="n"/>
      <c r="M5" s="628" t="n"/>
      <c r="N5" s="766" t="n"/>
      <c r="O5" s="627" t="n"/>
      <c r="P5" s="591" t="n"/>
      <c r="Q5" s="625" t="n"/>
      <c r="R5" s="766" t="n"/>
      <c r="S5" s="601" t="n"/>
      <c r="U5" s="628" t="n"/>
      <c r="V5" s="766" t="n"/>
      <c r="W5" s="627" t="n"/>
    </row>
    <row r="6" ht="18" customHeight="1" s="562">
      <c r="A6" s="625" t="n"/>
      <c r="B6" s="609" t="n"/>
      <c r="C6" s="601" t="n"/>
      <c r="D6" s="591" t="n"/>
      <c r="E6" s="625" t="n"/>
      <c r="F6" s="609" t="n"/>
      <c r="G6" s="601" t="n"/>
      <c r="H6" s="591" t="n"/>
      <c r="I6" s="625" t="n"/>
      <c r="J6" s="626" t="n"/>
      <c r="K6" s="627" t="n"/>
      <c r="L6" s="591" t="n"/>
      <c r="M6" s="628" t="n"/>
      <c r="N6" s="626" t="n"/>
      <c r="O6" s="627" t="n"/>
      <c r="P6" s="591" t="n"/>
      <c r="Q6" s="625" t="n"/>
      <c r="R6" s="766" t="n"/>
      <c r="S6" s="601" t="n"/>
      <c r="U6" s="628" t="n"/>
      <c r="V6" s="626" t="n"/>
      <c r="W6" s="624" t="n"/>
    </row>
    <row r="7" ht="18.75" customHeight="1" s="562">
      <c r="A7" s="620" t="n"/>
      <c r="B7" s="591" t="n"/>
      <c r="C7" s="601" t="n"/>
      <c r="D7" s="591" t="n"/>
      <c r="E7" s="620" t="n"/>
      <c r="F7" s="591" t="n"/>
      <c r="G7" s="601" t="n"/>
      <c r="H7" s="591" t="n"/>
      <c r="I7" s="622" t="n"/>
      <c r="J7" s="623" t="n"/>
      <c r="K7" s="627" t="n"/>
      <c r="L7" s="591" t="n"/>
      <c r="M7" s="628" t="n"/>
      <c r="N7" s="626" t="n"/>
      <c r="O7" s="624" t="n"/>
      <c r="P7" s="591" t="n"/>
      <c r="Q7" s="625" t="n"/>
      <c r="R7" s="609" t="n"/>
      <c r="S7" s="861" t="n"/>
      <c r="U7" s="628" t="n"/>
      <c r="V7" s="626" t="n"/>
      <c r="W7" s="624" t="n"/>
    </row>
    <row r="8" ht="18.75" customHeight="1" s="562">
      <c r="A8" s="620" t="n"/>
      <c r="B8" s="591" t="n"/>
      <c r="C8" s="629">
        <f>SUM(C4:C7)</f>
        <v/>
      </c>
      <c r="D8" s="591" t="n"/>
      <c r="E8" s="620" t="n"/>
      <c r="F8" s="591" t="n"/>
      <c r="G8" s="629">
        <f>SUM(G4:G7)</f>
        <v/>
      </c>
      <c r="H8" s="591" t="n"/>
      <c r="I8" s="622" t="n"/>
      <c r="J8" s="623" t="n"/>
      <c r="K8" s="630">
        <f>SUM(K4:K7)</f>
        <v/>
      </c>
      <c r="L8" s="591" t="n"/>
      <c r="M8" s="622" t="n"/>
      <c r="N8" s="623" t="n"/>
      <c r="O8" s="631">
        <f>SUM(O4:O7)</f>
        <v/>
      </c>
      <c r="P8" s="591" t="n"/>
      <c r="Q8" s="620" t="n"/>
      <c r="R8" s="591" t="n"/>
      <c r="S8" s="642">
        <f>SUM(S4:S7)</f>
        <v/>
      </c>
      <c r="U8" s="622" t="n"/>
      <c r="V8" s="623" t="n"/>
      <c r="W8" s="631">
        <f>SUM(W4:W7)</f>
        <v/>
      </c>
    </row>
    <row r="9" ht="18.75" customHeight="1" s="562">
      <c r="A9" s="632" t="inlineStr">
        <is>
          <t xml:space="preserve">Expenses </t>
        </is>
      </c>
      <c r="B9" s="617" t="n"/>
      <c r="C9" s="618" t="n"/>
      <c r="D9" s="591" t="n"/>
      <c r="E9" s="632" t="inlineStr">
        <is>
          <t xml:space="preserve">Expenses </t>
        </is>
      </c>
      <c r="F9" s="617" t="n"/>
      <c r="G9" s="618" t="n"/>
      <c r="H9" s="591" t="n"/>
      <c r="I9" s="633" t="inlineStr">
        <is>
          <t xml:space="preserve">Expenses </t>
        </is>
      </c>
      <c r="J9" s="617" t="n"/>
      <c r="K9" s="618" t="n"/>
      <c r="L9" s="591" t="n"/>
      <c r="M9" s="633" t="inlineStr">
        <is>
          <t xml:space="preserve">Expenses </t>
        </is>
      </c>
      <c r="N9" s="617" t="n"/>
      <c r="O9" s="618" t="n"/>
      <c r="P9" s="591" t="n"/>
      <c r="Q9" s="632" t="inlineStr">
        <is>
          <t xml:space="preserve">Expenses </t>
        </is>
      </c>
      <c r="R9" s="617" t="n"/>
      <c r="S9" s="618" t="n"/>
      <c r="U9" s="643" t="inlineStr">
        <is>
          <t xml:space="preserve">Expenses </t>
        </is>
      </c>
      <c r="V9" s="617" t="n"/>
      <c r="W9" s="618" t="n"/>
    </row>
    <row r="10" ht="18" customHeight="1" s="562">
      <c r="A10" s="620" t="inlineStr">
        <is>
          <t>Date:</t>
        </is>
      </c>
      <c r="B10" s="591" t="inlineStr">
        <is>
          <t xml:space="preserve">Expense Name </t>
        </is>
      </c>
      <c r="C10" s="621" t="inlineStr">
        <is>
          <t xml:space="preserve">Amount </t>
        </is>
      </c>
      <c r="D10" s="591" t="n"/>
      <c r="E10" s="620" t="inlineStr">
        <is>
          <t>Date:</t>
        </is>
      </c>
      <c r="F10" s="591" t="inlineStr">
        <is>
          <t xml:space="preserve">Expense Name </t>
        </is>
      </c>
      <c r="G10" s="621" t="inlineStr">
        <is>
          <t xml:space="preserve">Amount </t>
        </is>
      </c>
      <c r="H10" s="591" t="n"/>
      <c r="I10" s="622" t="inlineStr">
        <is>
          <t>Date:</t>
        </is>
      </c>
      <c r="J10" s="623" t="inlineStr">
        <is>
          <t xml:space="preserve">Expense Name </t>
        </is>
      </c>
      <c r="K10" s="624" t="inlineStr">
        <is>
          <t xml:space="preserve">Amount </t>
        </is>
      </c>
      <c r="L10" s="591" t="n"/>
      <c r="M10" s="622" t="inlineStr">
        <is>
          <t>Date:</t>
        </is>
      </c>
      <c r="N10" s="623" t="inlineStr">
        <is>
          <t xml:space="preserve">Expense Name </t>
        </is>
      </c>
      <c r="O10" s="624" t="inlineStr">
        <is>
          <t xml:space="preserve">Amount </t>
        </is>
      </c>
      <c r="P10" s="591" t="n"/>
      <c r="Q10" s="620" t="inlineStr">
        <is>
          <t>Date:</t>
        </is>
      </c>
      <c r="R10" s="591" t="inlineStr">
        <is>
          <t xml:space="preserve">Expense Name </t>
        </is>
      </c>
      <c r="S10" s="621" t="inlineStr">
        <is>
          <t xml:space="preserve">Amount </t>
        </is>
      </c>
      <c r="U10" s="622" t="inlineStr">
        <is>
          <t>Date:</t>
        </is>
      </c>
      <c r="V10" s="623" t="inlineStr">
        <is>
          <t xml:space="preserve">Expense Name </t>
        </is>
      </c>
      <c r="W10" s="624" t="inlineStr">
        <is>
          <t xml:space="preserve">Amount </t>
        </is>
      </c>
    </row>
    <row r="11" ht="18" customHeight="1" s="562">
      <c r="A11" s="625" t="n">
        <v>46082</v>
      </c>
      <c r="B11" s="591" t="inlineStr">
        <is>
          <t xml:space="preserve">Linda </t>
        </is>
      </c>
      <c r="C11" s="621" t="n"/>
      <c r="D11" s="591" t="n"/>
      <c r="E11" s="625" t="n">
        <v>46082</v>
      </c>
      <c r="F11" s="591" t="inlineStr">
        <is>
          <t xml:space="preserve">Emily </t>
        </is>
      </c>
      <c r="G11" s="621" t="n"/>
      <c r="H11" s="591" t="n"/>
      <c r="I11" s="625" t="n">
        <v>46082</v>
      </c>
      <c r="J11" s="591" t="inlineStr">
        <is>
          <t>Susan</t>
        </is>
      </c>
      <c r="K11" s="621" t="n"/>
      <c r="L11" s="591" t="n"/>
      <c r="M11" s="628" t="n"/>
      <c r="N11" s="623" t="inlineStr">
        <is>
          <t>Merriam</t>
        </is>
      </c>
      <c r="O11" s="624" t="n"/>
      <c r="P11" s="591" t="n"/>
      <c r="Q11" s="625" t="n">
        <v>46082</v>
      </c>
      <c r="R11" s="591" t="inlineStr">
        <is>
          <t>Siphilisiwe (Patrica)</t>
        </is>
      </c>
      <c r="S11" s="621" t="n"/>
      <c r="U11" s="625" t="n">
        <v>46082</v>
      </c>
      <c r="V11" s="623" t="inlineStr">
        <is>
          <t>Ruth</t>
        </is>
      </c>
      <c r="W11" s="624" t="n"/>
    </row>
    <row r="12" ht="18" customHeight="1" s="562">
      <c r="A12" s="625" t="n"/>
      <c r="B12" s="591" t="n"/>
      <c r="C12" s="621" t="n"/>
      <c r="D12" s="591" t="n"/>
      <c r="E12" s="625" t="n">
        <v>46082</v>
      </c>
      <c r="F12" s="591" t="inlineStr">
        <is>
          <t xml:space="preserve">Emma </t>
        </is>
      </c>
      <c r="G12" s="621" t="n"/>
      <c r="H12" s="591" t="n"/>
      <c r="I12" s="620" t="n"/>
      <c r="J12" s="591" t="n"/>
      <c r="K12" s="621" t="n"/>
      <c r="L12" s="591" t="n"/>
      <c r="M12" s="628" t="n"/>
      <c r="N12" s="623" t="n"/>
      <c r="O12" s="624" t="n"/>
      <c r="P12" s="591" t="n"/>
      <c r="Q12" s="628" t="n"/>
      <c r="S12" s="621" t="n"/>
      <c r="U12" s="628" t="n"/>
      <c r="V12" s="623" t="n"/>
      <c r="W12" s="624" t="n"/>
    </row>
    <row r="13" ht="18" customHeight="1" s="562">
      <c r="A13" s="620" t="n"/>
      <c r="B13" s="591" t="n"/>
      <c r="C13" s="621" t="n"/>
      <c r="D13" s="591" t="n"/>
      <c r="E13" s="625" t="n">
        <v>46082</v>
      </c>
      <c r="F13" s="591" t="inlineStr">
        <is>
          <t xml:space="preserve">Uber </t>
        </is>
      </c>
      <c r="G13" s="621" t="n"/>
      <c r="H13" s="591" t="n"/>
      <c r="I13" s="620" t="n"/>
      <c r="J13" s="591" t="n"/>
      <c r="K13" s="621" t="n"/>
      <c r="L13" s="591" t="n"/>
      <c r="M13" s="628" t="n"/>
      <c r="N13" s="623" t="n"/>
      <c r="O13" s="624" t="n"/>
      <c r="P13" s="591" t="n"/>
      <c r="Q13" s="628" t="n"/>
      <c r="R13" s="591" t="n"/>
      <c r="S13" s="621" t="n"/>
      <c r="U13" s="628" t="n"/>
      <c r="V13" s="623" t="n"/>
      <c r="W13" s="624" t="n"/>
    </row>
    <row r="14" ht="18" customHeight="1" s="562">
      <c r="A14" s="620" t="n"/>
      <c r="B14" s="591" t="n"/>
      <c r="C14" s="621" t="n"/>
      <c r="D14" s="591" t="n"/>
      <c r="E14" s="625" t="n"/>
      <c r="F14" s="591" t="n"/>
      <c r="G14" s="621" t="n"/>
      <c r="H14" s="591" t="n"/>
      <c r="I14" s="620" t="n"/>
      <c r="J14" s="591" t="n"/>
      <c r="K14" s="621" t="n"/>
      <c r="L14" s="591" t="n"/>
      <c r="M14" s="622" t="n"/>
      <c r="N14" s="623" t="n"/>
      <c r="O14" s="624" t="n"/>
      <c r="P14" s="591" t="n"/>
      <c r="Q14" s="620" t="n"/>
      <c r="R14" s="591" t="n"/>
      <c r="S14" s="621" t="n"/>
      <c r="U14" s="622" t="n"/>
      <c r="V14" s="623" t="n"/>
      <c r="W14" s="624" t="n"/>
    </row>
    <row r="15" ht="18" customHeight="1" s="562">
      <c r="A15" s="620" t="n"/>
      <c r="B15" s="591" t="n"/>
      <c r="C15" s="621" t="n"/>
      <c r="D15" s="591" t="n"/>
      <c r="E15" s="620" t="n"/>
      <c r="F15" s="591" t="n"/>
      <c r="G15" s="621" t="n"/>
      <c r="H15" s="591" t="n"/>
      <c r="I15" s="620" t="n"/>
      <c r="J15" s="591" t="n"/>
      <c r="K15" s="621" t="n"/>
      <c r="L15" s="591" t="n"/>
      <c r="M15" s="622" t="n"/>
      <c r="N15" s="623" t="n"/>
      <c r="O15" s="624" t="n"/>
      <c r="P15" s="591" t="n"/>
      <c r="Q15" s="620" t="n"/>
      <c r="R15" s="591" t="n"/>
      <c r="S15" s="621" t="n"/>
      <c r="U15" s="622" t="n"/>
      <c r="V15" s="623" t="n"/>
      <c r="W15" s="624" t="n"/>
    </row>
    <row r="16" ht="18" customHeight="1" s="562">
      <c r="A16" s="620" t="n"/>
      <c r="B16" s="591" t="n"/>
      <c r="C16" s="621" t="n"/>
      <c r="D16" s="591" t="n"/>
      <c r="E16" s="620" t="n"/>
      <c r="F16" s="591" t="n"/>
      <c r="G16" s="621" t="n"/>
      <c r="H16" s="591" t="n"/>
      <c r="I16" s="620" t="n"/>
      <c r="J16" s="591" t="n"/>
      <c r="K16" s="621" t="n"/>
      <c r="L16" s="591" t="n"/>
      <c r="M16" s="622" t="n"/>
      <c r="N16" s="623" t="n"/>
      <c r="O16" s="624" t="n"/>
      <c r="P16" s="591" t="n"/>
      <c r="Q16" s="620" t="n"/>
      <c r="R16" s="591" t="n"/>
      <c r="S16" s="621" t="n"/>
      <c r="U16" s="622" t="n"/>
      <c r="V16" s="623" t="n"/>
      <c r="W16" s="624" t="n"/>
    </row>
    <row r="17" ht="18" customHeight="1" s="562">
      <c r="A17" s="620" t="n"/>
      <c r="B17" s="591" t="n"/>
      <c r="C17" s="621" t="n"/>
      <c r="D17" s="591" t="n"/>
      <c r="E17" s="620" t="n"/>
      <c r="F17" s="591" t="n"/>
      <c r="G17" s="621" t="n"/>
      <c r="H17" s="591" t="n"/>
      <c r="I17" s="620" t="n"/>
      <c r="J17" s="591" t="n"/>
      <c r="K17" s="621" t="n"/>
      <c r="L17" s="591" t="n"/>
      <c r="M17" s="622" t="n"/>
      <c r="N17" s="623" t="n"/>
      <c r="O17" s="624" t="n"/>
      <c r="P17" s="591" t="n"/>
      <c r="Q17" s="620" t="n"/>
      <c r="R17" s="591" t="n"/>
      <c r="S17" s="621" t="n"/>
      <c r="U17" s="622" t="n"/>
      <c r="V17" s="623" t="n"/>
      <c r="W17" s="624" t="n"/>
    </row>
    <row r="18" ht="18" customHeight="1" s="562">
      <c r="A18" s="620" t="n"/>
      <c r="B18" s="591" t="n"/>
      <c r="C18" s="621" t="n"/>
      <c r="D18" s="591" t="n"/>
      <c r="E18" s="620" t="n"/>
      <c r="F18" s="591" t="n"/>
      <c r="G18" s="621" t="n"/>
      <c r="H18" s="591" t="n"/>
      <c r="I18" s="620" t="n"/>
      <c r="J18" s="591" t="n"/>
      <c r="K18" s="621" t="n"/>
      <c r="L18" s="591" t="n"/>
      <c r="M18" s="622" t="n"/>
      <c r="N18" s="623" t="n"/>
      <c r="O18" s="624" t="n"/>
      <c r="P18" s="591" t="n"/>
      <c r="Q18" s="620" t="n"/>
      <c r="R18" s="591" t="n"/>
      <c r="S18" s="621" t="n"/>
      <c r="U18" s="622" t="n"/>
      <c r="V18" s="623" t="n"/>
      <c r="W18" s="624" t="n"/>
    </row>
    <row r="19" ht="18" customHeight="1" s="562">
      <c r="A19" s="620" t="n"/>
      <c r="B19" s="591" t="n"/>
      <c r="C19" s="621" t="n"/>
      <c r="D19" s="591" t="n"/>
      <c r="E19" s="620" t="n"/>
      <c r="F19" s="591" t="n"/>
      <c r="G19" s="621" t="n"/>
      <c r="H19" s="591" t="n"/>
      <c r="I19" s="620" t="n"/>
      <c r="J19" s="591" t="n"/>
      <c r="K19" s="621" t="n"/>
      <c r="L19" s="591" t="n"/>
      <c r="M19" s="622" t="n"/>
      <c r="N19" s="623" t="n"/>
      <c r="O19" s="624" t="n"/>
      <c r="P19" s="591" t="n"/>
      <c r="Q19" s="620" t="n"/>
      <c r="R19" s="591" t="n"/>
      <c r="S19" s="621" t="n"/>
      <c r="U19" s="622" t="n"/>
      <c r="V19" s="623" t="n"/>
      <c r="W19" s="624" t="n"/>
    </row>
    <row r="20" ht="18" customHeight="1" s="562">
      <c r="A20" s="620" t="n"/>
      <c r="B20" s="591" t="n"/>
      <c r="C20" s="621" t="n"/>
      <c r="D20" s="591" t="n"/>
      <c r="E20" s="620" t="n"/>
      <c r="F20" s="591" t="n"/>
      <c r="G20" s="621" t="n"/>
      <c r="H20" s="591" t="n"/>
      <c r="I20" s="620" t="n"/>
      <c r="J20" s="591" t="n"/>
      <c r="K20" s="621" t="n"/>
      <c r="L20" s="591" t="n"/>
      <c r="M20" s="622" t="n"/>
      <c r="N20" s="623" t="n"/>
      <c r="O20" s="624" t="n"/>
      <c r="P20" s="591" t="n"/>
      <c r="Q20" s="620" t="n"/>
      <c r="R20" s="591" t="n"/>
      <c r="S20" s="621" t="n"/>
      <c r="U20" s="622" t="n"/>
      <c r="V20" s="623" t="n"/>
      <c r="W20" s="624" t="n"/>
    </row>
    <row r="21" ht="18" customHeight="1" s="562">
      <c r="A21" s="620" t="n"/>
      <c r="B21" s="591" t="n"/>
      <c r="C21" s="621" t="n"/>
      <c r="D21" s="591" t="n"/>
      <c r="E21" s="620" t="n"/>
      <c r="F21" s="591" t="n"/>
      <c r="G21" s="621" t="n"/>
      <c r="H21" s="591" t="n"/>
      <c r="I21" s="620" t="n"/>
      <c r="J21" s="591" t="n"/>
      <c r="K21" s="621" t="n"/>
      <c r="L21" s="591" t="n"/>
      <c r="M21" s="622" t="n"/>
      <c r="N21" s="623" t="n"/>
      <c r="O21" s="624" t="n"/>
      <c r="P21" s="591" t="n"/>
      <c r="Q21" s="620" t="n"/>
      <c r="R21" s="591" t="n"/>
      <c r="S21" s="621" t="n"/>
      <c r="U21" s="622" t="n"/>
      <c r="V21" s="623" t="n"/>
      <c r="W21" s="624" t="n"/>
    </row>
    <row r="22" ht="18.75" customHeight="1" s="562">
      <c r="A22" s="620" t="n"/>
      <c r="B22" s="591" t="n"/>
      <c r="C22" s="621" t="n"/>
      <c r="D22" s="591" t="n"/>
      <c r="E22" s="620" t="n"/>
      <c r="F22" s="591" t="n"/>
      <c r="G22" s="621" t="n"/>
      <c r="H22" s="591" t="n"/>
      <c r="I22" s="620" t="n"/>
      <c r="J22" s="591" t="n"/>
      <c r="K22" s="621" t="n"/>
      <c r="L22" s="591" t="n"/>
      <c r="M22" s="622" t="n"/>
      <c r="N22" s="623" t="n"/>
      <c r="O22" s="624" t="n"/>
      <c r="P22" s="591" t="n"/>
      <c r="Q22" s="620" t="n"/>
      <c r="R22" s="591" t="n"/>
      <c r="S22" s="621" t="n"/>
      <c r="U22" s="622" t="n"/>
      <c r="V22" s="623" t="n"/>
      <c r="W22" s="624" t="n"/>
    </row>
    <row r="23" ht="18.75" customHeight="1" s="562">
      <c r="A23" s="634" t="inlineStr">
        <is>
          <t xml:space="preserve">Total Expense </t>
        </is>
      </c>
      <c r="B23" s="617" t="n"/>
      <c r="C23" s="635">
        <f>SUM(C11:C22)</f>
        <v/>
      </c>
      <c r="D23" s="591" t="n"/>
      <c r="E23" s="634" t="inlineStr">
        <is>
          <t xml:space="preserve">Total Expense </t>
        </is>
      </c>
      <c r="F23" s="617" t="n"/>
      <c r="G23" s="635">
        <f>SUM(G11:G22)</f>
        <v/>
      </c>
      <c r="H23" s="591" t="n"/>
      <c r="I23" s="634" t="inlineStr">
        <is>
          <t xml:space="preserve">Total Expense </t>
        </is>
      </c>
      <c r="J23" s="617" t="n"/>
      <c r="K23" s="635">
        <f>SUM(K11:K22)</f>
        <v/>
      </c>
      <c r="L23" s="591" t="n"/>
      <c r="M23" s="644" t="inlineStr">
        <is>
          <t xml:space="preserve">Total Expense </t>
        </is>
      </c>
      <c r="N23" s="637" t="n"/>
      <c r="O23" s="645">
        <f>SUM(O11:O14)</f>
        <v/>
      </c>
      <c r="P23" s="591" t="n"/>
      <c r="Q23" s="634" t="inlineStr">
        <is>
          <t xml:space="preserve">Total Expense </t>
        </is>
      </c>
      <c r="R23" s="617" t="n"/>
      <c r="S23" s="635">
        <f>SUM(S11:S22)</f>
        <v/>
      </c>
      <c r="U23" s="644" t="inlineStr">
        <is>
          <t xml:space="preserve">Total Expense </t>
        </is>
      </c>
      <c r="V23" s="637" t="n"/>
      <c r="W23" s="645" t="n"/>
    </row>
    <row r="24" ht="18.75" customHeight="1" s="562">
      <c r="A24" s="636" t="inlineStr">
        <is>
          <t xml:space="preserve">Income - Expense </t>
        </is>
      </c>
      <c r="B24" s="637" t="n"/>
      <c r="C24" s="638">
        <f>MIN(C4-C23)</f>
        <v/>
      </c>
      <c r="D24" s="591" t="n"/>
      <c r="E24" s="636" t="inlineStr">
        <is>
          <t xml:space="preserve">Income - Expense </t>
        </is>
      </c>
      <c r="F24" s="637" t="n"/>
      <c r="G24" s="638">
        <f>MIN(G4-G23)</f>
        <v/>
      </c>
      <c r="H24" s="591" t="n"/>
      <c r="I24" s="636" t="inlineStr">
        <is>
          <t xml:space="preserve">Income - Expense </t>
        </is>
      </c>
      <c r="J24" s="637" t="n"/>
      <c r="K24" s="638">
        <f>MIN(K4-K23)</f>
        <v/>
      </c>
      <c r="L24" s="591" t="n"/>
      <c r="M24" s="646" t="inlineStr">
        <is>
          <t xml:space="preserve">Income - Expense </t>
        </is>
      </c>
      <c r="N24" s="637" t="n"/>
      <c r="O24" s="647">
        <f>MIN(O8-O23)</f>
        <v/>
      </c>
      <c r="P24" s="591" t="n"/>
      <c r="Q24" s="636" t="inlineStr">
        <is>
          <t xml:space="preserve">Income - Expense </t>
        </is>
      </c>
      <c r="R24" s="637" t="n"/>
      <c r="S24" s="638">
        <f>MIN(S4-S23)</f>
        <v/>
      </c>
      <c r="U24" s="646" t="inlineStr">
        <is>
          <t xml:space="preserve">Income - Expense </t>
        </is>
      </c>
      <c r="V24" s="637" t="n"/>
      <c r="W24" s="647" t="n"/>
    </row>
    <row r="25" ht="16.5" customHeight="1" s="562"/>
    <row r="26" ht="18.75" customHeight="1" s="562">
      <c r="A26" s="1030" t="inlineStr">
        <is>
          <t>Angela/ Dimitri Paoadopoulos- weekly</t>
        </is>
      </c>
      <c r="B26" s="617" t="n"/>
      <c r="C26" s="637" t="n"/>
      <c r="E26" s="1029" t="inlineStr">
        <is>
          <t>Du Plessis</t>
        </is>
      </c>
      <c r="F26" s="617" t="n"/>
      <c r="G26" s="637" t="n"/>
      <c r="I26" s="1029" t="inlineStr">
        <is>
          <t>Mia Ras- monthly</t>
        </is>
      </c>
      <c r="J26" s="617" t="n"/>
      <c r="K26" s="637" t="n"/>
      <c r="M26" s="1029" t="inlineStr">
        <is>
          <t>Megan Barnes</t>
        </is>
      </c>
      <c r="N26" s="617" t="n"/>
      <c r="O26" s="637" t="n"/>
      <c r="Q26" s="1029" t="inlineStr">
        <is>
          <t>Johanna Van Heerden- monthly</t>
        </is>
      </c>
      <c r="R26" s="617" t="n"/>
      <c r="S26" s="637" t="n"/>
      <c r="U26" s="1029" t="inlineStr">
        <is>
          <t xml:space="preserve">Derek Halls </t>
        </is>
      </c>
      <c r="V26" s="617" t="n"/>
      <c r="W26" s="637" t="n"/>
    </row>
    <row r="27" ht="18.75" customHeight="1" s="562">
      <c r="A27" s="619" t="inlineStr">
        <is>
          <t xml:space="preserve">Income </t>
        </is>
      </c>
      <c r="B27" s="617" t="n"/>
      <c r="C27" s="618" t="n"/>
      <c r="E27" s="619" t="inlineStr">
        <is>
          <t xml:space="preserve">Income </t>
        </is>
      </c>
      <c r="F27" s="617" t="n"/>
      <c r="G27" s="618" t="n"/>
      <c r="I27" s="619" t="inlineStr">
        <is>
          <t xml:space="preserve">Income </t>
        </is>
      </c>
      <c r="J27" s="617" t="n"/>
      <c r="K27" s="618" t="n"/>
      <c r="M27" s="619" t="inlineStr">
        <is>
          <t xml:space="preserve">Income </t>
        </is>
      </c>
      <c r="N27" s="617" t="n"/>
      <c r="O27" s="618" t="n"/>
      <c r="Q27" s="619" t="inlineStr">
        <is>
          <t xml:space="preserve">Income </t>
        </is>
      </c>
      <c r="R27" s="617" t="n"/>
      <c r="S27" s="618" t="n"/>
      <c r="U27" s="619" t="inlineStr">
        <is>
          <t xml:space="preserve">Income </t>
        </is>
      </c>
      <c r="V27" s="617" t="n"/>
      <c r="W27" s="618" t="n"/>
    </row>
    <row r="28" ht="18" customHeight="1" s="562">
      <c r="A28" s="622" t="inlineStr">
        <is>
          <t>Date:</t>
        </is>
      </c>
      <c r="B28" s="623" t="n"/>
      <c r="C28" s="624" t="inlineStr">
        <is>
          <t xml:space="preserve">Payment </t>
        </is>
      </c>
      <c r="E28" s="622" t="inlineStr">
        <is>
          <t>Date:</t>
        </is>
      </c>
      <c r="F28" s="623" t="n"/>
      <c r="G28" s="624" t="inlineStr">
        <is>
          <t xml:space="preserve">Payment </t>
        </is>
      </c>
      <c r="I28" s="622" t="inlineStr">
        <is>
          <t>Date:</t>
        </is>
      </c>
      <c r="J28" s="623" t="n"/>
      <c r="K28" s="624" t="inlineStr">
        <is>
          <t xml:space="preserve">Payment </t>
        </is>
      </c>
      <c r="M28" s="622" t="inlineStr">
        <is>
          <t>Date:</t>
        </is>
      </c>
      <c r="N28" s="623" t="n"/>
      <c r="O28" s="624" t="inlineStr">
        <is>
          <t xml:space="preserve">Payment </t>
        </is>
      </c>
      <c r="Q28" s="622" t="inlineStr">
        <is>
          <t>Date:</t>
        </is>
      </c>
      <c r="R28" s="623" t="n"/>
      <c r="S28" s="624" t="inlineStr">
        <is>
          <t xml:space="preserve">Payment </t>
        </is>
      </c>
      <c r="U28" s="622" t="inlineStr">
        <is>
          <t>Date:</t>
        </is>
      </c>
      <c r="V28" s="623" t="n"/>
      <c r="W28" s="624" t="inlineStr">
        <is>
          <t xml:space="preserve">Payment </t>
        </is>
      </c>
    </row>
    <row r="29" ht="18" customHeight="1" s="562">
      <c r="A29" s="628" t="n">
        <v>46085</v>
      </c>
      <c r="B29" s="766" t="inlineStr">
        <is>
          <t xml:space="preserve">Invoiced </t>
        </is>
      </c>
      <c r="C29" s="627" t="n">
        <v>6650</v>
      </c>
      <c r="E29" s="628" t="n">
        <v>46082</v>
      </c>
      <c r="F29" s="863" t="inlineStr">
        <is>
          <t xml:space="preserve">invoiced </t>
        </is>
      </c>
      <c r="G29" s="627" t="n">
        <v>12500</v>
      </c>
      <c r="I29" s="862" t="n">
        <v>46082</v>
      </c>
      <c r="J29" s="863" t="inlineStr">
        <is>
          <t xml:space="preserve">invoiced </t>
        </is>
      </c>
      <c r="K29" s="627" t="n">
        <v>11900</v>
      </c>
      <c r="M29" s="628" t="n">
        <v>46082</v>
      </c>
      <c r="N29" s="766" t="inlineStr">
        <is>
          <t xml:space="preserve">invoiced </t>
        </is>
      </c>
      <c r="O29" s="627" t="n">
        <v>13000</v>
      </c>
      <c r="Q29" s="628" t="n">
        <v>46082</v>
      </c>
      <c r="R29" s="766" t="inlineStr">
        <is>
          <t>Invoiced TCH</t>
        </is>
      </c>
      <c r="S29" s="627" t="n">
        <v>23250</v>
      </c>
      <c r="U29" s="628" t="n">
        <v>46082</v>
      </c>
      <c r="V29" s="766" t="inlineStr">
        <is>
          <t xml:space="preserve">invoiced </t>
        </is>
      </c>
      <c r="W29" s="627" t="n">
        <v>11600</v>
      </c>
    </row>
    <row r="30" ht="18" customHeight="1" s="562">
      <c r="A30" s="628" t="n">
        <v>46092</v>
      </c>
      <c r="B30" s="766" t="inlineStr">
        <is>
          <t xml:space="preserve">Invoiced </t>
        </is>
      </c>
      <c r="C30" s="627" t="n">
        <v>6650</v>
      </c>
      <c r="E30" s="628" t="n"/>
      <c r="F30" s="766" t="n"/>
      <c r="G30" s="627" t="n"/>
      <c r="I30" s="627" t="n"/>
      <c r="J30" s="627" t="n"/>
      <c r="K30" s="627" t="n"/>
      <c r="M30" s="628" t="n"/>
      <c r="N30" s="766" t="n"/>
      <c r="O30" s="627" t="n"/>
      <c r="Q30" s="628" t="n"/>
      <c r="R30" s="766" t="n"/>
      <c r="S30" s="624" t="n"/>
      <c r="U30" s="628" t="n"/>
      <c r="V30" s="766" t="n"/>
      <c r="W30" s="627" t="n"/>
    </row>
    <row r="31" ht="18" customHeight="1" s="562">
      <c r="A31" s="628" t="n">
        <v>46097</v>
      </c>
      <c r="B31" s="766" t="inlineStr">
        <is>
          <t xml:space="preserve">Invoiced </t>
        </is>
      </c>
      <c r="C31" s="627" t="n">
        <v>6650</v>
      </c>
      <c r="E31" s="628" t="n"/>
      <c r="G31" s="624" t="n"/>
      <c r="I31" s="627" t="n"/>
      <c r="J31" s="627" t="n"/>
      <c r="K31" s="627" t="n"/>
      <c r="M31" s="628" t="n"/>
      <c r="N31" s="626" t="n"/>
      <c r="O31" s="627" t="n"/>
      <c r="Q31" s="628" t="n"/>
      <c r="S31" s="624" t="n"/>
      <c r="U31" s="628" t="n"/>
      <c r="W31" s="624" t="n"/>
    </row>
    <row r="32" ht="18" customHeight="1" s="562">
      <c r="A32" s="628" t="n">
        <v>46106</v>
      </c>
      <c r="B32" s="766" t="inlineStr">
        <is>
          <t xml:space="preserve">Invoiced </t>
        </is>
      </c>
      <c r="C32" s="627" t="n">
        <v>6650</v>
      </c>
      <c r="E32" s="628" t="n"/>
      <c r="F32" s="626" t="n"/>
      <c r="G32" s="624" t="n"/>
      <c r="I32" s="627" t="n"/>
      <c r="J32" s="627" t="n"/>
      <c r="K32" s="627" t="n"/>
      <c r="M32" s="628" t="n"/>
      <c r="N32" s="626" t="n"/>
      <c r="O32" s="624" t="n"/>
      <c r="Q32" s="628" t="n"/>
      <c r="R32" s="626" t="n"/>
      <c r="S32" s="624" t="n"/>
      <c r="U32" s="628" t="n"/>
      <c r="V32" s="626" t="n"/>
      <c r="W32" s="624" t="n"/>
    </row>
    <row r="33" ht="18.75" customHeight="1" s="562">
      <c r="A33" s="628" t="n">
        <v>46112</v>
      </c>
      <c r="B33" s="766" t="n"/>
      <c r="C33" s="627" t="n"/>
      <c r="E33" s="628" t="n"/>
      <c r="F33" s="626" t="n"/>
      <c r="G33" s="626" t="n"/>
      <c r="I33" s="627" t="n"/>
      <c r="J33" s="627" t="n"/>
      <c r="K33" s="627" t="n"/>
      <c r="M33" s="628" t="n"/>
      <c r="N33" s="626" t="n"/>
      <c r="O33" s="626" t="n"/>
      <c r="Q33" s="628" t="n"/>
      <c r="R33" s="626" t="n"/>
      <c r="S33" s="626" t="n"/>
      <c r="U33" s="628" t="n"/>
      <c r="V33" s="626" t="n"/>
      <c r="W33" s="626" t="n"/>
    </row>
    <row r="34" ht="18.75" customHeight="1" s="562">
      <c r="A34" s="622" t="n"/>
      <c r="B34" s="623" t="n"/>
      <c r="C34" s="630">
        <f>SUM(C29:C33)</f>
        <v/>
      </c>
      <c r="E34" s="622" t="n"/>
      <c r="F34" s="623" t="n"/>
      <c r="G34" s="631">
        <f>SUM(G29:G32)</f>
        <v/>
      </c>
      <c r="I34" s="627" t="n"/>
      <c r="J34" s="627" t="n"/>
      <c r="K34" s="627">
        <f>SUM(K29:K33)</f>
        <v/>
      </c>
      <c r="M34" s="622" t="n"/>
      <c r="N34" s="623" t="n"/>
      <c r="O34" s="631">
        <f>SUM(O29:O32)</f>
        <v/>
      </c>
      <c r="Q34" s="622" t="n"/>
      <c r="R34" s="623" t="n"/>
      <c r="S34" s="631">
        <f>SUM(S29:S32)</f>
        <v/>
      </c>
      <c r="U34" s="622" t="n"/>
      <c r="V34" s="623" t="n"/>
      <c r="W34" s="631">
        <f>SUM(W29:W32)</f>
        <v/>
      </c>
    </row>
    <row r="35" ht="18.75" customHeight="1" s="562">
      <c r="A35" s="633" t="inlineStr">
        <is>
          <t xml:space="preserve">Expenses </t>
        </is>
      </c>
      <c r="B35" s="617" t="n"/>
      <c r="C35" s="618" t="n"/>
      <c r="E35" s="643" t="inlineStr">
        <is>
          <t xml:space="preserve">Expenses </t>
        </is>
      </c>
      <c r="F35" s="617" t="n"/>
      <c r="G35" s="618" t="n"/>
      <c r="I35" s="643" t="inlineStr">
        <is>
          <t xml:space="preserve">Expenses </t>
        </is>
      </c>
      <c r="J35" s="617" t="n"/>
      <c r="K35" s="618" t="n"/>
      <c r="M35" s="643" t="inlineStr">
        <is>
          <t xml:space="preserve">Expenses </t>
        </is>
      </c>
      <c r="N35" s="617" t="n"/>
      <c r="O35" s="618" t="n"/>
      <c r="Q35" s="643" t="inlineStr">
        <is>
          <t xml:space="preserve">Expenses </t>
        </is>
      </c>
      <c r="R35" s="617" t="n"/>
      <c r="S35" s="618" t="n"/>
      <c r="U35" s="643" t="inlineStr">
        <is>
          <t xml:space="preserve">Expenses </t>
        </is>
      </c>
      <c r="V35" s="617" t="n"/>
      <c r="W35" s="618" t="n"/>
    </row>
    <row r="36" ht="18" customHeight="1" s="562">
      <c r="A36" s="622" t="inlineStr">
        <is>
          <t>Date:</t>
        </is>
      </c>
      <c r="B36" s="623" t="inlineStr">
        <is>
          <t xml:space="preserve">Expense Name </t>
        </is>
      </c>
      <c r="C36" s="624" t="inlineStr">
        <is>
          <t xml:space="preserve">Amount </t>
        </is>
      </c>
      <c r="E36" s="622" t="inlineStr">
        <is>
          <t>Date:</t>
        </is>
      </c>
      <c r="F36" s="623" t="inlineStr">
        <is>
          <t xml:space="preserve">Expense Name </t>
        </is>
      </c>
      <c r="G36" s="624" t="inlineStr">
        <is>
          <t xml:space="preserve">Amount </t>
        </is>
      </c>
      <c r="I36" s="622" t="inlineStr">
        <is>
          <t>Date:</t>
        </is>
      </c>
      <c r="J36" s="623" t="inlineStr">
        <is>
          <t xml:space="preserve">Expense Name </t>
        </is>
      </c>
      <c r="K36" s="624" t="inlineStr">
        <is>
          <t xml:space="preserve">Amount </t>
        </is>
      </c>
      <c r="M36" s="622" t="inlineStr">
        <is>
          <t>Date:</t>
        </is>
      </c>
      <c r="N36" s="623" t="inlineStr">
        <is>
          <t xml:space="preserve">Expense Name </t>
        </is>
      </c>
      <c r="O36" s="624" t="inlineStr">
        <is>
          <t xml:space="preserve">Amount </t>
        </is>
      </c>
      <c r="Q36" s="622" t="inlineStr">
        <is>
          <t>Date:</t>
        </is>
      </c>
      <c r="R36" s="623" t="inlineStr">
        <is>
          <t xml:space="preserve">Expense Name </t>
        </is>
      </c>
      <c r="S36" s="624" t="inlineStr">
        <is>
          <t xml:space="preserve">Amount </t>
        </is>
      </c>
      <c r="U36" s="622" t="inlineStr">
        <is>
          <t>Date:</t>
        </is>
      </c>
      <c r="V36" s="623" t="inlineStr">
        <is>
          <t xml:space="preserve">Expense Name </t>
        </is>
      </c>
      <c r="W36" s="624" t="inlineStr">
        <is>
          <t xml:space="preserve">Amount </t>
        </is>
      </c>
    </row>
    <row r="37" ht="18" customHeight="1" s="562">
      <c r="A37" s="625" t="n">
        <v>46082</v>
      </c>
      <c r="B37" s="623" t="inlineStr">
        <is>
          <t>Tracy</t>
        </is>
      </c>
      <c r="C37" s="624" t="n"/>
      <c r="E37" s="625" t="n">
        <v>46082</v>
      </c>
      <c r="F37" s="623" t="n"/>
      <c r="G37" s="624" t="n"/>
      <c r="I37" s="625" t="n">
        <v>46082</v>
      </c>
      <c r="J37" s="623" t="inlineStr">
        <is>
          <t>Marion</t>
        </is>
      </c>
      <c r="K37" s="624" t="n"/>
      <c r="M37" s="628" t="n">
        <v>46082</v>
      </c>
      <c r="N37" s="623" t="inlineStr">
        <is>
          <t>Leah</t>
        </is>
      </c>
      <c r="O37" s="624" t="n"/>
      <c r="Q37" s="625" t="n">
        <v>46082</v>
      </c>
      <c r="R37" s="623" t="inlineStr">
        <is>
          <t xml:space="preserve">Christina </t>
        </is>
      </c>
      <c r="S37" s="624" t="n"/>
      <c r="U37" s="625" t="n">
        <v>46082</v>
      </c>
      <c r="V37" s="623" t="inlineStr">
        <is>
          <t>Annika</t>
        </is>
      </c>
      <c r="W37" s="624" t="n"/>
    </row>
    <row r="38" ht="18" customHeight="1" s="562">
      <c r="A38" s="628" t="n"/>
      <c r="B38" s="623" t="inlineStr">
        <is>
          <t>Musa</t>
        </is>
      </c>
      <c r="C38" s="624" t="n"/>
      <c r="E38" s="628" t="n"/>
      <c r="F38" s="623" t="inlineStr">
        <is>
          <t xml:space="preserve">Joyce </t>
        </is>
      </c>
      <c r="G38" s="624" t="n"/>
      <c r="I38" s="628" t="n"/>
      <c r="J38" s="623" t="n"/>
      <c r="K38" s="624" t="n"/>
      <c r="M38" s="628" t="n"/>
      <c r="N38" s="623" t="n"/>
      <c r="O38" s="624" t="n"/>
      <c r="Q38" s="628" t="n">
        <v>46082</v>
      </c>
      <c r="R38" s="623" t="inlineStr">
        <is>
          <t>Ada</t>
        </is>
      </c>
      <c r="S38" s="624" t="n"/>
      <c r="U38" s="628" t="n"/>
      <c r="V38" s="623" t="n"/>
      <c r="W38" s="624" t="n"/>
    </row>
    <row r="39" ht="18" customHeight="1" s="562">
      <c r="A39" s="628" t="n"/>
      <c r="B39" s="623" t="n"/>
      <c r="C39" s="624" t="n"/>
      <c r="E39" s="628" t="n"/>
      <c r="F39" s="623" t="n"/>
      <c r="G39" s="624" t="n"/>
      <c r="I39" s="628" t="n"/>
      <c r="J39" s="623" t="n"/>
      <c r="K39" s="624" t="n"/>
      <c r="M39" s="628" t="n"/>
      <c r="N39" s="623" t="n"/>
      <c r="O39" s="624" t="n"/>
      <c r="Q39" s="628" t="n"/>
      <c r="R39" s="623" t="n"/>
      <c r="S39" s="624" t="n"/>
      <c r="U39" s="628" t="n"/>
      <c r="V39" s="623" t="n"/>
      <c r="W39" s="624" t="n"/>
    </row>
    <row r="40" ht="18" customHeight="1" s="562">
      <c r="A40" s="622" t="n"/>
      <c r="B40" s="623" t="n"/>
      <c r="C40" s="624" t="n"/>
      <c r="E40" s="622" t="n"/>
      <c r="F40" s="623" t="n"/>
      <c r="G40" s="624" t="n"/>
      <c r="I40" s="622" t="n"/>
      <c r="J40" s="623" t="n"/>
      <c r="K40" s="624" t="n"/>
      <c r="M40" s="622" t="n"/>
      <c r="N40" s="623" t="n"/>
      <c r="O40" s="624" t="n"/>
      <c r="Q40" s="622" t="n"/>
      <c r="R40" s="623" t="n"/>
      <c r="S40" s="624" t="n"/>
      <c r="U40" s="622" t="n"/>
      <c r="V40" s="623" t="n"/>
      <c r="W40" s="624" t="n"/>
    </row>
    <row r="41" ht="18" customHeight="1" s="562">
      <c r="A41" s="622" t="n"/>
      <c r="B41" s="623" t="n"/>
      <c r="C41" s="624" t="n"/>
      <c r="E41" s="622" t="n"/>
      <c r="F41" s="623" t="n"/>
      <c r="G41" s="624" t="n"/>
      <c r="I41" s="622" t="n"/>
      <c r="J41" s="623" t="n"/>
      <c r="K41" s="624" t="n"/>
      <c r="M41" s="622" t="n"/>
      <c r="N41" s="623" t="n"/>
      <c r="O41" s="624" t="n"/>
      <c r="Q41" s="622" t="n"/>
      <c r="R41" s="623" t="n"/>
      <c r="S41" s="624" t="n"/>
      <c r="U41" s="622" t="n"/>
      <c r="V41" s="623" t="n"/>
      <c r="W41" s="624" t="n"/>
    </row>
    <row r="42" ht="18" customHeight="1" s="562">
      <c r="A42" s="622" t="n"/>
      <c r="B42" s="623" t="n"/>
      <c r="C42" s="624" t="n"/>
      <c r="E42" s="622" t="n"/>
      <c r="F42" s="623" t="n"/>
      <c r="G42" s="624" t="n"/>
      <c r="I42" s="622" t="n"/>
      <c r="J42" s="623" t="n"/>
      <c r="K42" s="624" t="n"/>
      <c r="M42" s="622" t="n"/>
      <c r="N42" s="623" t="n"/>
      <c r="O42" s="624" t="n"/>
      <c r="Q42" s="622" t="n"/>
      <c r="R42" s="623" t="n"/>
      <c r="S42" s="624" t="n"/>
      <c r="U42" s="622" t="n"/>
      <c r="V42" s="623" t="n"/>
      <c r="W42" s="624" t="n"/>
    </row>
    <row r="43" ht="18" customHeight="1" s="562">
      <c r="A43" s="622" t="n"/>
      <c r="B43" s="623" t="n"/>
      <c r="C43" s="624" t="n"/>
      <c r="E43" s="622" t="n"/>
      <c r="F43" s="623" t="n"/>
      <c r="G43" s="624" t="n"/>
      <c r="I43" s="622" t="n"/>
      <c r="J43" s="623" t="n"/>
      <c r="K43" s="624" t="n"/>
      <c r="M43" s="622" t="n"/>
      <c r="N43" s="623" t="n"/>
      <c r="O43" s="624" t="n"/>
      <c r="Q43" s="622" t="n"/>
      <c r="R43" s="623" t="n"/>
      <c r="S43" s="624" t="n"/>
      <c r="U43" s="622" t="n"/>
      <c r="V43" s="623" t="n"/>
      <c r="W43" s="624" t="n"/>
    </row>
    <row r="44" ht="18" customHeight="1" s="562">
      <c r="A44" s="622" t="n"/>
      <c r="B44" s="623" t="n"/>
      <c r="C44" s="624" t="n"/>
      <c r="E44" s="622" t="n"/>
      <c r="F44" s="623" t="n"/>
      <c r="G44" s="624" t="n"/>
      <c r="I44" s="622" t="n"/>
      <c r="J44" s="623" t="n"/>
      <c r="K44" s="624" t="n"/>
      <c r="M44" s="622" t="n"/>
      <c r="N44" s="623" t="n"/>
      <c r="O44" s="624" t="n"/>
      <c r="Q44" s="622" t="n"/>
      <c r="R44" s="623" t="n"/>
      <c r="S44" s="624" t="n"/>
      <c r="U44" s="622" t="n"/>
      <c r="V44" s="623" t="n"/>
      <c r="W44" s="624" t="n"/>
    </row>
    <row r="45" ht="18" customHeight="1" s="562">
      <c r="A45" s="622" t="n"/>
      <c r="B45" s="623" t="n"/>
      <c r="C45" s="624" t="n"/>
      <c r="E45" s="622" t="n"/>
      <c r="F45" s="623" t="n"/>
      <c r="G45" s="624" t="n"/>
      <c r="I45" s="622" t="n"/>
      <c r="J45" s="623" t="n"/>
      <c r="K45" s="624" t="n"/>
      <c r="M45" s="622" t="n"/>
      <c r="N45" s="623" t="n"/>
      <c r="O45" s="624" t="n"/>
      <c r="Q45" s="622" t="n"/>
      <c r="R45" s="623" t="n"/>
      <c r="S45" s="624" t="n"/>
      <c r="U45" s="622" t="n"/>
      <c r="V45" s="623" t="n"/>
      <c r="W45" s="624" t="n"/>
    </row>
    <row r="46" ht="18" customHeight="1" s="562">
      <c r="A46" s="622" t="n"/>
      <c r="B46" s="623" t="n"/>
      <c r="C46" s="624" t="n"/>
      <c r="E46" s="622" t="n"/>
      <c r="F46" s="623" t="n"/>
      <c r="G46" s="624" t="n"/>
      <c r="I46" s="622" t="n"/>
      <c r="J46" s="623" t="n"/>
      <c r="K46" s="624" t="n"/>
      <c r="M46" s="622" t="n"/>
      <c r="N46" s="623" t="n"/>
      <c r="O46" s="624" t="n"/>
      <c r="Q46" s="622" t="n"/>
      <c r="R46" s="623" t="n"/>
      <c r="S46" s="624" t="n"/>
      <c r="U46" s="622" t="n"/>
      <c r="V46" s="623" t="n"/>
      <c r="W46" s="624" t="n"/>
    </row>
    <row r="47" ht="18.75" customHeight="1" s="562">
      <c r="A47" s="622" t="n"/>
      <c r="B47" s="623" t="n"/>
      <c r="C47" s="624" t="n"/>
      <c r="E47" s="622" t="n"/>
      <c r="F47" s="623" t="n"/>
      <c r="G47" s="624" t="n"/>
      <c r="I47" s="622" t="n"/>
      <c r="J47" s="623" t="n"/>
      <c r="K47" s="624" t="n"/>
      <c r="M47" s="622" t="n"/>
      <c r="N47" s="623" t="n"/>
      <c r="O47" s="624" t="n"/>
      <c r="Q47" s="622" t="n"/>
      <c r="R47" s="623" t="n"/>
      <c r="S47" s="624" t="n"/>
      <c r="U47" s="622" t="n"/>
      <c r="V47" s="623" t="n"/>
      <c r="W47" s="624" t="n"/>
    </row>
    <row r="48" ht="18.75" customHeight="1" s="562">
      <c r="A48" s="910" t="inlineStr">
        <is>
          <t xml:space="preserve">Total Expense </t>
        </is>
      </c>
      <c r="B48" s="911" t="n"/>
      <c r="C48" s="645" t="n"/>
      <c r="E48" s="910" t="inlineStr">
        <is>
          <t xml:space="preserve">Total Expense </t>
        </is>
      </c>
      <c r="F48" s="911" t="n"/>
      <c r="G48" s="645" t="n"/>
      <c r="I48" s="910" t="inlineStr">
        <is>
          <t xml:space="preserve">Total Expense </t>
        </is>
      </c>
      <c r="J48" s="911" t="n"/>
      <c r="K48" s="645" t="n"/>
      <c r="M48" s="910" t="inlineStr">
        <is>
          <t xml:space="preserve">Total Expense </t>
        </is>
      </c>
      <c r="N48" s="911" t="n"/>
      <c r="O48" s="645" t="n"/>
      <c r="Q48" s="910" t="inlineStr">
        <is>
          <t xml:space="preserve">Total Expense </t>
        </is>
      </c>
      <c r="R48" s="911" t="n"/>
      <c r="S48" s="645" t="n"/>
      <c r="U48" s="910" t="inlineStr">
        <is>
          <t xml:space="preserve">Total Expense </t>
        </is>
      </c>
      <c r="V48" s="911" t="n"/>
      <c r="W48" s="645" t="n"/>
    </row>
    <row r="49" ht="18.75" customHeight="1" s="562">
      <c r="A49" s="646" t="inlineStr">
        <is>
          <t xml:space="preserve">Income - Expense </t>
        </is>
      </c>
      <c r="B49" s="637" t="n"/>
      <c r="C49" s="773" t="n"/>
      <c r="E49" s="646" t="inlineStr">
        <is>
          <t xml:space="preserve">Income - Expense </t>
        </is>
      </c>
      <c r="F49" s="637" t="n"/>
      <c r="G49" s="773" t="n"/>
      <c r="I49" s="646" t="inlineStr">
        <is>
          <t xml:space="preserve">Income - Expense </t>
        </is>
      </c>
      <c r="J49" s="637" t="n"/>
      <c r="K49" s="773" t="n"/>
      <c r="M49" s="646" t="inlineStr">
        <is>
          <t xml:space="preserve">Income - Expense </t>
        </is>
      </c>
      <c r="N49" s="637" t="n"/>
      <c r="O49" s="773" t="n"/>
      <c r="Q49" s="646" t="inlineStr">
        <is>
          <t xml:space="preserve">Income - Expense </t>
        </is>
      </c>
      <c r="R49" s="637" t="n"/>
      <c r="S49" s="773" t="n"/>
      <c r="U49" s="646" t="inlineStr">
        <is>
          <t xml:space="preserve">Income - Expense </t>
        </is>
      </c>
      <c r="V49" s="637" t="n"/>
      <c r="W49" s="773" t="n"/>
    </row>
    <row r="50" ht="18.75" customHeight="1" s="562">
      <c r="A50" s="912" t="n"/>
      <c r="B50" s="912" t="n"/>
      <c r="C50" s="913" t="n"/>
      <c r="E50" s="912" t="n"/>
      <c r="F50" s="912" t="n"/>
      <c r="G50" s="913" t="n"/>
      <c r="I50" s="767" t="n"/>
      <c r="K50" s="768" t="n"/>
      <c r="M50" s="767" t="n"/>
      <c r="O50" s="768" t="n"/>
      <c r="Q50" s="767" t="n"/>
      <c r="S50" s="768" t="n"/>
      <c r="U50" s="767" t="n"/>
      <c r="W50" s="768" t="n"/>
    </row>
    <row r="51" ht="18.75" customHeight="1" s="562">
      <c r="A51" s="1029" t="inlineStr">
        <is>
          <t xml:space="preserve">Roux- Esme </t>
        </is>
      </c>
      <c r="B51" s="617" t="n"/>
      <c r="C51" s="637" t="n"/>
      <c r="E51" s="1029" t="inlineStr">
        <is>
          <t>Carolina Richards</t>
        </is>
      </c>
      <c r="F51" s="617" t="n"/>
      <c r="G51" s="637" t="n"/>
      <c r="I51" s="1029" t="inlineStr">
        <is>
          <t xml:space="preserve">Webb- Sonja </t>
        </is>
      </c>
      <c r="J51" s="617" t="n"/>
      <c r="K51" s="637" t="n"/>
      <c r="M51" s="1029" t="inlineStr">
        <is>
          <t>Andre Theron- monthly</t>
        </is>
      </c>
      <c r="N51" s="617" t="n"/>
      <c r="O51" s="637" t="n"/>
      <c r="Q51" s="1031" t="inlineStr">
        <is>
          <t>De Waal- weekly</t>
        </is>
      </c>
      <c r="R51" s="617" t="n"/>
      <c r="S51" s="637" t="n"/>
      <c r="T51" s="771" t="n"/>
      <c r="U51" s="1029" t="inlineStr">
        <is>
          <t xml:space="preserve">Morrison </t>
        </is>
      </c>
      <c r="V51" s="617" t="n"/>
      <c r="W51" s="637" t="n"/>
    </row>
    <row r="52" ht="18.75" customHeight="1" s="562">
      <c r="A52" s="619" t="inlineStr">
        <is>
          <t xml:space="preserve">Income </t>
        </is>
      </c>
      <c r="B52" s="617" t="n"/>
      <c r="C52" s="618" t="n"/>
      <c r="E52" s="619" t="inlineStr">
        <is>
          <t xml:space="preserve">Income </t>
        </is>
      </c>
      <c r="F52" s="617" t="n"/>
      <c r="G52" s="618" t="n"/>
      <c r="I52" s="619" t="inlineStr">
        <is>
          <t xml:space="preserve">Income </t>
        </is>
      </c>
      <c r="J52" s="617" t="n"/>
      <c r="K52" s="618" t="n"/>
      <c r="M52" s="619" t="inlineStr">
        <is>
          <t xml:space="preserve">Income </t>
        </is>
      </c>
      <c r="N52" s="617" t="n"/>
      <c r="O52" s="618" t="n"/>
      <c r="Q52" s="619" t="inlineStr">
        <is>
          <t xml:space="preserve">Income </t>
        </is>
      </c>
      <c r="R52" s="617" t="n"/>
      <c r="S52" s="618" t="n"/>
      <c r="T52" s="771" t="n"/>
      <c r="U52" s="619" t="inlineStr">
        <is>
          <t xml:space="preserve">Income </t>
        </is>
      </c>
      <c r="V52" s="617" t="n"/>
      <c r="W52" s="618" t="n"/>
    </row>
    <row r="53" ht="18" customHeight="1" s="562">
      <c r="A53" s="622" t="inlineStr">
        <is>
          <t>Date:</t>
        </is>
      </c>
      <c r="B53" s="623" t="n"/>
      <c r="C53" s="624" t="inlineStr">
        <is>
          <t xml:space="preserve">Payment </t>
        </is>
      </c>
      <c r="E53" s="622" t="inlineStr">
        <is>
          <t>Date:</t>
        </is>
      </c>
      <c r="F53" s="623" t="n"/>
      <c r="G53" s="624" t="inlineStr">
        <is>
          <t xml:space="preserve">Payment </t>
        </is>
      </c>
      <c r="I53" s="622" t="inlineStr">
        <is>
          <t>Date:</t>
        </is>
      </c>
      <c r="J53" s="623" t="n"/>
      <c r="K53" s="624" t="inlineStr">
        <is>
          <t xml:space="preserve">Payment </t>
        </is>
      </c>
      <c r="M53" s="622" t="inlineStr">
        <is>
          <t>Date:</t>
        </is>
      </c>
      <c r="N53" s="623" t="n"/>
      <c r="O53" s="624" t="inlineStr">
        <is>
          <t xml:space="preserve">Payment </t>
        </is>
      </c>
      <c r="Q53" s="622" t="inlineStr">
        <is>
          <t>Date:</t>
        </is>
      </c>
      <c r="R53" s="623" t="n"/>
      <c r="S53" s="624" t="inlineStr">
        <is>
          <t xml:space="preserve">Payment </t>
        </is>
      </c>
      <c r="T53" s="771" t="n"/>
      <c r="U53" s="622" t="inlineStr">
        <is>
          <t>Date:</t>
        </is>
      </c>
      <c r="V53" s="623" t="n"/>
      <c r="W53" s="624" t="inlineStr">
        <is>
          <t xml:space="preserve">Payment </t>
        </is>
      </c>
    </row>
    <row r="54" ht="18" customHeight="1" s="562">
      <c r="A54" s="862" t="n">
        <v>46082</v>
      </c>
      <c r="B54" s="863" t="inlineStr">
        <is>
          <t xml:space="preserve">invoiced </t>
        </is>
      </c>
      <c r="C54" s="627" t="n">
        <v>5250</v>
      </c>
      <c r="E54" s="862" t="n">
        <v>46082</v>
      </c>
      <c r="F54" s="863" t="inlineStr">
        <is>
          <t xml:space="preserve">invoiced </t>
        </is>
      </c>
      <c r="G54" s="627" t="n">
        <v>23250</v>
      </c>
      <c r="I54" s="862" t="n">
        <v>46082</v>
      </c>
      <c r="J54" s="863" t="inlineStr">
        <is>
          <t xml:space="preserve">invoiced </t>
        </is>
      </c>
      <c r="K54" s="627" t="n">
        <v>3000</v>
      </c>
      <c r="M54" s="628" t="n">
        <v>46082</v>
      </c>
      <c r="N54" s="766" t="inlineStr">
        <is>
          <t xml:space="preserve">invoiced </t>
        </is>
      </c>
      <c r="O54" s="627" t="n">
        <v>24000</v>
      </c>
      <c r="Q54" s="862" t="n">
        <v>46082</v>
      </c>
      <c r="R54" s="863" t="inlineStr">
        <is>
          <t xml:space="preserve">invoiced </t>
        </is>
      </c>
      <c r="S54" s="627" t="n">
        <v>6650</v>
      </c>
      <c r="T54" s="771" t="n"/>
      <c r="U54" s="628" t="n"/>
      <c r="V54" s="766" t="n"/>
      <c r="W54" s="627" t="n"/>
    </row>
    <row r="55" ht="18" customHeight="1" s="562">
      <c r="A55" s="862" t="n"/>
      <c r="B55" s="627" t="n"/>
      <c r="C55" s="627" t="n"/>
      <c r="E55" s="862" t="n"/>
      <c r="F55" s="863" t="n"/>
      <c r="G55" s="627" t="n"/>
      <c r="I55" s="627" t="n"/>
      <c r="J55" s="627" t="n"/>
      <c r="K55" s="627" t="n"/>
      <c r="M55" s="628" t="n"/>
      <c r="N55" s="766" t="n"/>
      <c r="O55" s="627" t="n"/>
      <c r="Q55" s="862" t="n">
        <v>46087</v>
      </c>
      <c r="R55" s="863" t="inlineStr">
        <is>
          <t xml:space="preserve">invoiced </t>
        </is>
      </c>
      <c r="S55" s="627" t="n">
        <v>6650</v>
      </c>
      <c r="T55" s="771" t="n"/>
      <c r="U55" s="628" t="n"/>
      <c r="V55" s="766" t="n"/>
      <c r="W55" s="627" t="n"/>
    </row>
    <row r="56" ht="18" customHeight="1" s="562">
      <c r="A56" s="862" t="n"/>
      <c r="B56" s="627" t="n"/>
      <c r="C56" s="627" t="n"/>
      <c r="E56" s="862" t="n"/>
      <c r="F56" s="627" t="n"/>
      <c r="G56" s="627" t="n"/>
      <c r="I56" s="627" t="n"/>
      <c r="J56" s="627" t="n"/>
      <c r="K56" s="627" t="n"/>
      <c r="M56" s="628" t="n"/>
      <c r="O56" s="624" t="n"/>
      <c r="Q56" s="862" t="n">
        <v>13</v>
      </c>
      <c r="R56" s="863" t="inlineStr">
        <is>
          <t xml:space="preserve">invoiced </t>
        </is>
      </c>
      <c r="S56" s="627" t="n">
        <v>6650</v>
      </c>
      <c r="T56" s="771" t="n"/>
      <c r="U56" s="628" t="n"/>
      <c r="W56" s="627" t="n"/>
    </row>
    <row r="57" ht="18" customHeight="1" s="562">
      <c r="A57" s="914" t="n"/>
      <c r="B57" s="627" t="n"/>
      <c r="C57" s="627" t="n"/>
      <c r="E57" s="914" t="n"/>
      <c r="F57" s="627" t="n"/>
      <c r="G57" s="627" t="n"/>
      <c r="I57" s="627" t="n"/>
      <c r="J57" s="627" t="n"/>
      <c r="K57" s="627" t="n"/>
      <c r="M57" s="628" t="n"/>
      <c r="N57" s="626" t="n"/>
      <c r="O57" s="624" t="n"/>
      <c r="Q57" s="862" t="n">
        <v>46101</v>
      </c>
      <c r="R57" s="863" t="inlineStr">
        <is>
          <t xml:space="preserve">invoiced </t>
        </is>
      </c>
      <c r="S57" s="627" t="n">
        <v>6650</v>
      </c>
      <c r="T57" s="771" t="n"/>
      <c r="U57" s="628" t="n"/>
      <c r="V57" s="626" t="n"/>
      <c r="W57" s="627" t="n"/>
    </row>
    <row r="58" ht="18.75" customHeight="1" s="562">
      <c r="A58" s="914" t="n"/>
      <c r="B58" s="627" t="n"/>
      <c r="C58" s="639" t="n"/>
      <c r="E58" s="914" t="n"/>
      <c r="F58" s="627" t="n"/>
      <c r="G58" s="639" t="n"/>
      <c r="I58" s="627" t="n"/>
      <c r="J58" s="627" t="n"/>
      <c r="K58" s="639" t="n"/>
      <c r="M58" s="628" t="n"/>
      <c r="N58" s="626" t="n"/>
      <c r="O58" s="626" t="n"/>
      <c r="Q58" s="862" t="n">
        <v>46108</v>
      </c>
      <c r="R58" s="863" t="inlineStr">
        <is>
          <t xml:space="preserve">invoiced </t>
        </is>
      </c>
      <c r="S58" s="639" t="n">
        <v>6650</v>
      </c>
      <c r="T58" s="771" t="n"/>
      <c r="U58" s="628" t="n"/>
      <c r="V58" s="626" t="n"/>
      <c r="W58" s="626" t="n"/>
    </row>
    <row r="59" ht="18.75" customHeight="1" s="562">
      <c r="A59" s="914" t="n"/>
      <c r="B59" s="915" t="n"/>
      <c r="C59" s="631">
        <f>SUM(C54:C58)</f>
        <v/>
      </c>
      <c r="E59" s="914" t="n"/>
      <c r="F59" s="915" t="n"/>
      <c r="G59" s="631">
        <f>SUM(G54:G58)</f>
        <v/>
      </c>
      <c r="I59" s="627" t="n"/>
      <c r="J59" s="915" t="n"/>
      <c r="K59" s="631">
        <f>SUM(K54:K58)</f>
        <v/>
      </c>
      <c r="M59" s="622" t="n"/>
      <c r="N59" s="623" t="n"/>
      <c r="O59" s="631">
        <f>SUM(O54:O57)</f>
        <v/>
      </c>
      <c r="Q59" s="914" t="n"/>
      <c r="R59" s="915" t="n"/>
      <c r="S59" s="631">
        <f>SUM(S54:S58)</f>
        <v/>
      </c>
      <c r="T59" s="771" t="n"/>
      <c r="U59" s="622" t="n"/>
      <c r="V59" s="623" t="n"/>
      <c r="W59" s="631">
        <f>SUM(W54:W57)</f>
        <v/>
      </c>
    </row>
    <row r="60" ht="18.75" customHeight="1" s="562">
      <c r="A60" s="643" t="inlineStr">
        <is>
          <t xml:space="preserve">Expenses </t>
        </is>
      </c>
      <c r="B60" s="617" t="n"/>
      <c r="C60" s="618" t="n"/>
      <c r="E60" s="643" t="inlineStr">
        <is>
          <t xml:space="preserve">Expenses </t>
        </is>
      </c>
      <c r="F60" s="617" t="n"/>
      <c r="G60" s="618" t="n"/>
      <c r="I60" s="643" t="inlineStr">
        <is>
          <t xml:space="preserve">Expenses </t>
        </is>
      </c>
      <c r="J60" s="617" t="n"/>
      <c r="K60" s="618" t="n"/>
      <c r="M60" s="643" t="inlineStr">
        <is>
          <t xml:space="preserve">Expenses </t>
        </is>
      </c>
      <c r="N60" s="617" t="n"/>
      <c r="O60" s="618" t="n"/>
      <c r="Q60" s="643" t="inlineStr">
        <is>
          <t xml:space="preserve">Expenses </t>
        </is>
      </c>
      <c r="R60" s="617" t="n"/>
      <c r="S60" s="618" t="n"/>
      <c r="T60" s="771" t="n"/>
      <c r="U60" s="643" t="inlineStr">
        <is>
          <t xml:space="preserve">Expenses </t>
        </is>
      </c>
      <c r="V60" s="617" t="n"/>
      <c r="W60" s="618" t="n"/>
    </row>
    <row r="61" ht="18" customHeight="1" s="562">
      <c r="A61" s="622" t="inlineStr">
        <is>
          <t>Date:</t>
        </is>
      </c>
      <c r="B61" s="623" t="inlineStr">
        <is>
          <t xml:space="preserve">Expense Name </t>
        </is>
      </c>
      <c r="C61" s="624" t="inlineStr">
        <is>
          <t xml:space="preserve">Amount </t>
        </is>
      </c>
      <c r="E61" s="622" t="inlineStr">
        <is>
          <t>Date:</t>
        </is>
      </c>
      <c r="F61" s="623" t="inlineStr">
        <is>
          <t xml:space="preserve">Expense Name </t>
        </is>
      </c>
      <c r="G61" s="624" t="inlineStr">
        <is>
          <t xml:space="preserve">Amount </t>
        </is>
      </c>
      <c r="I61" s="622" t="inlineStr">
        <is>
          <t>Date:</t>
        </is>
      </c>
      <c r="J61" s="623" t="inlineStr">
        <is>
          <t xml:space="preserve">Expense Name </t>
        </is>
      </c>
      <c r="K61" s="624" t="inlineStr">
        <is>
          <t xml:space="preserve">Amount </t>
        </is>
      </c>
      <c r="M61" s="622" t="inlineStr">
        <is>
          <t>Date:</t>
        </is>
      </c>
      <c r="N61" s="623" t="inlineStr">
        <is>
          <t xml:space="preserve">Expense Name </t>
        </is>
      </c>
      <c r="O61" s="624" t="inlineStr">
        <is>
          <t xml:space="preserve">Amount </t>
        </is>
      </c>
      <c r="Q61" s="622" t="inlineStr">
        <is>
          <t>Date:</t>
        </is>
      </c>
      <c r="R61" s="623" t="inlineStr">
        <is>
          <t xml:space="preserve">Expense Name </t>
        </is>
      </c>
      <c r="S61" s="624" t="inlineStr">
        <is>
          <t xml:space="preserve">Amount </t>
        </is>
      </c>
      <c r="T61" s="771" t="n"/>
      <c r="U61" s="622" t="inlineStr">
        <is>
          <t>Date:</t>
        </is>
      </c>
      <c r="V61" s="623" t="inlineStr">
        <is>
          <t xml:space="preserve">Expense Name </t>
        </is>
      </c>
      <c r="W61" s="624" t="inlineStr">
        <is>
          <t xml:space="preserve">Amount </t>
        </is>
      </c>
    </row>
    <row r="62" ht="18" customHeight="1" s="562">
      <c r="A62" s="625" t="n"/>
      <c r="B62" s="623" t="inlineStr">
        <is>
          <t xml:space="preserve">Julia </t>
        </is>
      </c>
      <c r="C62" s="624" t="n"/>
      <c r="E62" s="625" t="n"/>
      <c r="F62" s="623" t="inlineStr">
        <is>
          <t xml:space="preserve">Julia </t>
        </is>
      </c>
      <c r="G62" s="624" t="n"/>
      <c r="I62" s="625" t="n"/>
      <c r="J62" s="623" t="inlineStr">
        <is>
          <t xml:space="preserve">Ruth </t>
        </is>
      </c>
      <c r="K62" s="624" t="n"/>
      <c r="M62" s="625" t="n">
        <v>46054</v>
      </c>
      <c r="N62" s="623" t="inlineStr">
        <is>
          <t xml:space="preserve">Sophia </t>
        </is>
      </c>
      <c r="O62" s="624" t="n"/>
      <c r="Q62" s="625" t="n"/>
      <c r="R62" s="623" t="inlineStr">
        <is>
          <t>Merriam</t>
        </is>
      </c>
      <c r="S62" s="624" t="n"/>
      <c r="T62" s="771" t="n"/>
      <c r="U62" s="625" t="n">
        <v>46054</v>
      </c>
      <c r="V62" s="623" t="n"/>
      <c r="W62" s="624" t="n"/>
    </row>
    <row r="63" ht="18" customHeight="1" s="562">
      <c r="A63" s="628" t="n"/>
      <c r="B63" s="623" t="n"/>
      <c r="C63" s="624" t="n"/>
      <c r="E63" s="628" t="n"/>
      <c r="F63" s="623" t="n"/>
      <c r="G63" s="624" t="n"/>
      <c r="I63" s="628" t="n"/>
      <c r="J63" s="623" t="n"/>
      <c r="K63" s="624" t="n"/>
      <c r="M63" s="628" t="n"/>
      <c r="N63" s="623" t="inlineStr">
        <is>
          <t xml:space="preserve">Ndai </t>
        </is>
      </c>
      <c r="O63" s="624" t="n"/>
      <c r="Q63" s="628" t="n"/>
      <c r="R63" s="623" t="n"/>
      <c r="S63" s="624" t="n"/>
      <c r="T63" s="771" t="n"/>
      <c r="U63" s="628" t="n"/>
      <c r="V63" s="623" t="n"/>
      <c r="W63" s="624" t="n"/>
    </row>
    <row r="64" ht="18" customHeight="1" s="562">
      <c r="A64" s="628" t="n"/>
      <c r="B64" s="623" t="n"/>
      <c r="C64" s="624" t="n"/>
      <c r="E64" s="628" t="n"/>
      <c r="F64" s="623" t="n"/>
      <c r="G64" s="624" t="n"/>
      <c r="I64" s="628" t="n"/>
      <c r="J64" s="623" t="n"/>
      <c r="K64" s="624" t="n"/>
      <c r="M64" s="628" t="n"/>
      <c r="N64" s="623" t="n"/>
      <c r="O64" s="624" t="n"/>
      <c r="Q64" s="628" t="n"/>
      <c r="R64" s="623" t="n"/>
      <c r="S64" s="624" t="n"/>
      <c r="T64" s="771" t="n"/>
      <c r="U64" s="628" t="n"/>
      <c r="V64" s="623" t="n"/>
      <c r="W64" s="624" t="n"/>
    </row>
    <row r="65" ht="18" customHeight="1" s="562">
      <c r="A65" s="622" t="n"/>
      <c r="B65" s="623" t="n"/>
      <c r="C65" s="624" t="n"/>
      <c r="E65" s="622" t="n"/>
      <c r="F65" s="623" t="n"/>
      <c r="G65" s="624" t="n"/>
      <c r="I65" s="622" t="n"/>
      <c r="J65" s="623" t="n"/>
      <c r="K65" s="624" t="n"/>
      <c r="M65" s="622" t="n"/>
      <c r="N65" s="623" t="n"/>
      <c r="O65" s="624" t="n"/>
      <c r="Q65" s="622" t="n"/>
      <c r="R65" s="623" t="n"/>
      <c r="S65" s="624" t="n"/>
      <c r="T65" s="771" t="n"/>
      <c r="U65" s="622" t="n"/>
      <c r="V65" s="623" t="n"/>
      <c r="W65" s="624" t="n"/>
    </row>
    <row r="66" ht="18" customHeight="1" s="562">
      <c r="A66" s="622" t="n"/>
      <c r="B66" s="623" t="n"/>
      <c r="C66" s="624" t="n"/>
      <c r="E66" s="622" t="n"/>
      <c r="F66" s="623" t="n"/>
      <c r="G66" s="624" t="n"/>
      <c r="I66" s="622" t="n"/>
      <c r="J66" s="623" t="n"/>
      <c r="K66" s="624" t="n"/>
      <c r="M66" s="622" t="n"/>
      <c r="N66" s="623" t="n"/>
      <c r="O66" s="624" t="n"/>
      <c r="Q66" s="622" t="n"/>
      <c r="R66" s="623" t="n"/>
      <c r="S66" s="624" t="n"/>
      <c r="T66" s="771" t="n"/>
      <c r="U66" s="622" t="n"/>
      <c r="V66" s="623" t="n"/>
      <c r="W66" s="624" t="n"/>
    </row>
    <row r="67" ht="18" customHeight="1" s="562">
      <c r="A67" s="622" t="n"/>
      <c r="B67" s="623" t="n"/>
      <c r="C67" s="624" t="n"/>
      <c r="E67" s="622" t="n"/>
      <c r="F67" s="623" t="n"/>
      <c r="G67" s="624" t="n"/>
      <c r="I67" s="622" t="n"/>
      <c r="J67" s="623" t="n"/>
      <c r="K67" s="624" t="n"/>
      <c r="M67" s="622" t="n"/>
      <c r="N67" s="623" t="n"/>
      <c r="O67" s="624" t="n"/>
      <c r="Q67" s="622" t="n"/>
      <c r="R67" s="623" t="n"/>
      <c r="S67" s="624" t="n"/>
      <c r="T67" s="771" t="n"/>
      <c r="U67" s="622" t="n"/>
      <c r="V67" s="623" t="n"/>
      <c r="W67" s="624" t="n"/>
    </row>
    <row r="68" ht="18" customHeight="1" s="562">
      <c r="A68" s="622" t="n"/>
      <c r="B68" s="623" t="n"/>
      <c r="C68" s="624" t="n"/>
      <c r="E68" s="622" t="n"/>
      <c r="F68" s="623" t="n"/>
      <c r="G68" s="624" t="n"/>
      <c r="I68" s="622" t="n"/>
      <c r="J68" s="623" t="n"/>
      <c r="K68" s="624" t="n"/>
      <c r="M68" s="622" t="n"/>
      <c r="N68" s="623" t="n"/>
      <c r="O68" s="624" t="n"/>
      <c r="Q68" s="622" t="n"/>
      <c r="R68" s="623" t="n"/>
      <c r="S68" s="624" t="n"/>
      <c r="T68" s="771" t="n"/>
      <c r="U68" s="622" t="n"/>
      <c r="V68" s="623" t="n"/>
      <c r="W68" s="624" t="n"/>
    </row>
    <row r="69" ht="18" customHeight="1" s="562">
      <c r="A69" s="622" t="n"/>
      <c r="B69" s="623" t="n"/>
      <c r="C69" s="624" t="n"/>
      <c r="E69" s="622" t="n"/>
      <c r="F69" s="623" t="n"/>
      <c r="G69" s="624" t="n"/>
      <c r="I69" s="622" t="n"/>
      <c r="J69" s="623" t="n"/>
      <c r="K69" s="624" t="n"/>
      <c r="M69" s="622" t="n"/>
      <c r="N69" s="623" t="n"/>
      <c r="O69" s="624" t="n"/>
      <c r="Q69" s="622" t="n"/>
      <c r="R69" s="623" t="n"/>
      <c r="S69" s="624" t="n"/>
      <c r="T69" s="771" t="n"/>
      <c r="U69" s="622" t="n"/>
      <c r="V69" s="623" t="n"/>
      <c r="W69" s="624" t="n"/>
    </row>
    <row r="70" ht="18" customHeight="1" s="562">
      <c r="A70" s="622" t="n"/>
      <c r="B70" s="623" t="n"/>
      <c r="C70" s="624" t="n"/>
      <c r="E70" s="622" t="n"/>
      <c r="F70" s="623" t="n"/>
      <c r="G70" s="624" t="n"/>
      <c r="I70" s="622" t="n"/>
      <c r="J70" s="623" t="n"/>
      <c r="K70" s="624" t="n"/>
      <c r="M70" s="622" t="n"/>
      <c r="N70" s="623" t="n"/>
      <c r="O70" s="624" t="n"/>
      <c r="Q70" s="622" t="n"/>
      <c r="R70" s="623" t="n"/>
      <c r="S70" s="624" t="n"/>
      <c r="T70" s="771" t="n"/>
      <c r="U70" s="622" t="n"/>
      <c r="V70" s="623" t="n"/>
      <c r="W70" s="624" t="n"/>
    </row>
    <row r="71" ht="18" customHeight="1" s="562">
      <c r="A71" s="622" t="n"/>
      <c r="B71" s="623" t="n"/>
      <c r="C71" s="624" t="n"/>
      <c r="E71" s="622" t="n"/>
      <c r="F71" s="623" t="n"/>
      <c r="G71" s="624" t="n"/>
      <c r="I71" s="622" t="n"/>
      <c r="J71" s="623" t="n"/>
      <c r="K71" s="624" t="n"/>
      <c r="M71" s="622" t="n"/>
      <c r="N71" s="623" t="n"/>
      <c r="O71" s="624" t="n"/>
      <c r="Q71" s="622" t="n"/>
      <c r="R71" s="623" t="n"/>
      <c r="S71" s="624" t="n"/>
      <c r="T71" s="771" t="n"/>
      <c r="U71" s="622" t="n"/>
      <c r="V71" s="623" t="n"/>
      <c r="W71" s="624" t="n"/>
    </row>
    <row r="72" ht="18" customHeight="1" s="562">
      <c r="A72" s="622" t="n"/>
      <c r="B72" s="623" t="n"/>
      <c r="C72" s="624" t="n"/>
      <c r="E72" s="622" t="n"/>
      <c r="F72" s="623" t="n"/>
      <c r="G72" s="624" t="n"/>
      <c r="I72" s="622" t="n"/>
      <c r="J72" s="623" t="n"/>
      <c r="K72" s="624" t="n"/>
      <c r="M72" s="622" t="n"/>
      <c r="N72" s="623" t="n"/>
      <c r="O72" s="624" t="n"/>
      <c r="Q72" s="622" t="n"/>
      <c r="R72" s="623" t="n"/>
      <c r="S72" s="624" t="n"/>
      <c r="T72" s="771" t="n"/>
      <c r="U72" s="622" t="n"/>
      <c r="V72" s="623" t="n"/>
      <c r="W72" s="624" t="n"/>
    </row>
    <row r="73" ht="18.75" customHeight="1" s="562">
      <c r="A73" s="622" t="n"/>
      <c r="B73" s="623" t="n"/>
      <c r="C73" s="624" t="n"/>
      <c r="E73" s="622" t="n"/>
      <c r="F73" s="623" t="n"/>
      <c r="G73" s="624" t="n"/>
      <c r="I73" s="622" t="n"/>
      <c r="J73" s="623" t="n"/>
      <c r="K73" s="624" t="n"/>
      <c r="M73" s="622" t="n"/>
      <c r="N73" s="623" t="n"/>
      <c r="O73" s="624" t="n"/>
      <c r="Q73" s="622" t="n"/>
      <c r="R73" s="623" t="n"/>
      <c r="S73" s="624" t="n"/>
      <c r="T73" s="771" t="n"/>
      <c r="U73" s="622" t="n"/>
      <c r="V73" s="623" t="n"/>
      <c r="W73" s="624" t="n"/>
    </row>
    <row r="74" ht="18.75" customHeight="1" s="562">
      <c r="A74" s="644" t="inlineStr">
        <is>
          <t xml:space="preserve">Total Expense </t>
        </is>
      </c>
      <c r="B74" s="637" t="n"/>
      <c r="C74" s="645" t="n"/>
      <c r="E74" s="644" t="inlineStr">
        <is>
          <t xml:space="preserve">Total Expense </t>
        </is>
      </c>
      <c r="F74" s="637" t="n"/>
      <c r="G74" s="645" t="n"/>
      <c r="I74" s="644" t="inlineStr">
        <is>
          <t xml:space="preserve">Total Expense </t>
        </is>
      </c>
      <c r="J74" s="637" t="n"/>
      <c r="K74" s="645" t="n"/>
      <c r="M74" s="644" t="inlineStr">
        <is>
          <t xml:space="preserve">Total Expense </t>
        </is>
      </c>
      <c r="N74" s="637" t="n"/>
      <c r="O74" s="645" t="n"/>
      <c r="Q74" s="644" t="inlineStr">
        <is>
          <t xml:space="preserve">Total Expense </t>
        </is>
      </c>
      <c r="R74" s="637" t="n"/>
      <c r="S74" s="645" t="n"/>
      <c r="T74" s="771" t="n"/>
      <c r="U74" s="644" t="inlineStr">
        <is>
          <t xml:space="preserve">Total Expense </t>
        </is>
      </c>
      <c r="V74" s="637" t="n"/>
      <c r="W74" s="645" t="n"/>
    </row>
    <row r="75" ht="18.75" customHeight="1" s="562">
      <c r="A75" s="646" t="inlineStr">
        <is>
          <t xml:space="preserve">Income - Expense </t>
        </is>
      </c>
      <c r="B75" s="637" t="n"/>
      <c r="C75" s="647" t="n"/>
      <c r="E75" s="646" t="inlineStr">
        <is>
          <t xml:space="preserve">Income - Expense </t>
        </is>
      </c>
      <c r="F75" s="637" t="n"/>
      <c r="G75" s="647" t="n"/>
      <c r="I75" s="646" t="inlineStr">
        <is>
          <t xml:space="preserve">Income - Expense </t>
        </is>
      </c>
      <c r="J75" s="637" t="n"/>
      <c r="K75" s="647" t="n"/>
      <c r="M75" s="646" t="inlineStr">
        <is>
          <t xml:space="preserve">Income - Expense </t>
        </is>
      </c>
      <c r="N75" s="637" t="n"/>
      <c r="O75" s="647" t="n"/>
      <c r="Q75" s="646" t="inlineStr">
        <is>
          <t xml:space="preserve">Income - Expense </t>
        </is>
      </c>
      <c r="R75" s="637" t="n"/>
      <c r="S75" s="647" t="n"/>
      <c r="T75" s="771" t="n"/>
      <c r="U75" s="646" t="inlineStr">
        <is>
          <t xml:space="preserve">Income - Expense </t>
        </is>
      </c>
      <c r="V75" s="637" t="n"/>
      <c r="W75" s="647" t="n"/>
    </row>
    <row r="76" ht="16.5" customHeight="1" s="562"/>
    <row r="77" ht="18.75" customHeight="1" s="562">
      <c r="A77" s="1029" t="inlineStr">
        <is>
          <t xml:space="preserve">Kotie- Rental </t>
        </is>
      </c>
      <c r="B77" s="617" t="n"/>
      <c r="C77" s="637" t="n"/>
      <c r="E77" s="1029" t="inlineStr">
        <is>
          <t>Scholtz</t>
        </is>
      </c>
      <c r="F77" s="617" t="n"/>
      <c r="G77" s="637" t="n"/>
      <c r="I77" s="1030" t="inlineStr">
        <is>
          <t xml:space="preserve">Maria Burgum- Weekly </t>
        </is>
      </c>
      <c r="J77" s="617" t="n"/>
      <c r="K77" s="637" t="n"/>
      <c r="M77" s="1029" t="inlineStr">
        <is>
          <t xml:space="preserve">Jean Place </t>
        </is>
      </c>
      <c r="N77" s="617" t="n"/>
      <c r="O77" s="637" t="n"/>
      <c r="Q77" s="1030" t="inlineStr">
        <is>
          <t xml:space="preserve">Oosthuizen- Weekly </t>
        </is>
      </c>
      <c r="R77" s="617" t="n"/>
      <c r="S77" s="637" t="n"/>
      <c r="U77" s="1031" t="inlineStr">
        <is>
          <t>O'Neill</t>
        </is>
      </c>
      <c r="V77" s="617" t="n"/>
      <c r="W77" s="637" t="n"/>
    </row>
    <row r="78" ht="18.75" customHeight="1" s="562">
      <c r="A78" s="619" t="inlineStr">
        <is>
          <t xml:space="preserve">Income </t>
        </is>
      </c>
      <c r="B78" s="617" t="n"/>
      <c r="C78" s="618" t="n"/>
      <c r="E78" s="619" t="inlineStr">
        <is>
          <t xml:space="preserve">Income </t>
        </is>
      </c>
      <c r="F78" s="617" t="n"/>
      <c r="G78" s="618" t="n"/>
      <c r="I78" s="619" t="inlineStr">
        <is>
          <t xml:space="preserve">Income </t>
        </is>
      </c>
      <c r="J78" s="617" t="n"/>
      <c r="K78" s="618" t="n"/>
      <c r="M78" s="619" t="inlineStr">
        <is>
          <t xml:space="preserve">Income </t>
        </is>
      </c>
      <c r="N78" s="617" t="n"/>
      <c r="O78" s="618" t="n"/>
      <c r="Q78" s="619" t="inlineStr">
        <is>
          <t xml:space="preserve">Income </t>
        </is>
      </c>
      <c r="R78" s="617" t="n"/>
      <c r="S78" s="618" t="n"/>
      <c r="U78" s="619" t="inlineStr">
        <is>
          <t xml:space="preserve">Income </t>
        </is>
      </c>
      <c r="V78" s="617" t="n"/>
      <c r="W78" s="618" t="n"/>
    </row>
    <row r="79" ht="18" customHeight="1" s="562">
      <c r="A79" s="622" t="inlineStr">
        <is>
          <t>Date:</t>
        </is>
      </c>
      <c r="B79" s="623" t="n"/>
      <c r="C79" s="624" t="inlineStr">
        <is>
          <t xml:space="preserve">Payment </t>
        </is>
      </c>
      <c r="E79" s="622" t="inlineStr">
        <is>
          <t>Date:</t>
        </is>
      </c>
      <c r="F79" s="623" t="n"/>
      <c r="G79" s="624" t="inlineStr">
        <is>
          <t xml:space="preserve">Payment </t>
        </is>
      </c>
      <c r="I79" s="622" t="inlineStr">
        <is>
          <t>Date:</t>
        </is>
      </c>
      <c r="J79" s="623" t="n"/>
      <c r="K79" s="624" t="inlineStr">
        <is>
          <t xml:space="preserve">Payment </t>
        </is>
      </c>
      <c r="M79" s="622" t="inlineStr">
        <is>
          <t>Date:</t>
        </is>
      </c>
      <c r="N79" s="623" t="n"/>
      <c r="O79" s="624" t="inlineStr">
        <is>
          <t xml:space="preserve">Payment </t>
        </is>
      </c>
      <c r="Q79" s="622" t="inlineStr">
        <is>
          <t>Date:</t>
        </is>
      </c>
      <c r="R79" s="623" t="n"/>
      <c r="S79" s="624" t="inlineStr">
        <is>
          <t xml:space="preserve">Payment </t>
        </is>
      </c>
      <c r="U79" s="622" t="inlineStr">
        <is>
          <t>Date:</t>
        </is>
      </c>
      <c r="V79" s="623" t="n"/>
      <c r="W79" s="624" t="inlineStr">
        <is>
          <t xml:space="preserve">Payment </t>
        </is>
      </c>
    </row>
    <row r="80" ht="18" customHeight="1" s="562">
      <c r="A80" s="862" t="n">
        <v>46082</v>
      </c>
      <c r="B80" s="863" t="inlineStr">
        <is>
          <t>invoiced</t>
        </is>
      </c>
      <c r="C80" s="627" t="n">
        <v>600</v>
      </c>
      <c r="E80" s="862" t="n">
        <v>46082</v>
      </c>
      <c r="F80" s="863" t="inlineStr">
        <is>
          <t xml:space="preserve">invoiced </t>
        </is>
      </c>
      <c r="G80" s="627" t="n">
        <v>6750</v>
      </c>
      <c r="I80" s="862" t="n">
        <v>46082</v>
      </c>
      <c r="J80" s="863" t="inlineStr">
        <is>
          <t xml:space="preserve">invoiced </t>
        </is>
      </c>
      <c r="K80" s="627" t="n">
        <v>2250</v>
      </c>
      <c r="M80" s="862" t="n"/>
      <c r="N80" s="863" t="n"/>
      <c r="O80" s="627" t="n"/>
      <c r="Q80" s="862" t="n"/>
      <c r="R80" s="863" t="n"/>
      <c r="S80" s="627" t="n"/>
      <c r="U80" s="862" t="n">
        <v>46083</v>
      </c>
      <c r="V80" s="863" t="inlineStr">
        <is>
          <t xml:space="preserve">invoiced </t>
        </is>
      </c>
      <c r="W80" s="627" t="n">
        <v>8250</v>
      </c>
    </row>
    <row r="81" ht="18" customHeight="1" s="562">
      <c r="A81" s="627" t="n"/>
      <c r="B81" s="627" t="n"/>
      <c r="C81" s="627" t="n"/>
      <c r="E81" s="627" t="n"/>
      <c r="F81" s="627" t="n"/>
      <c r="G81" s="627" t="n"/>
      <c r="I81" s="862" t="n">
        <v>46087</v>
      </c>
      <c r="J81" s="863" t="inlineStr">
        <is>
          <t xml:space="preserve">invoiced </t>
        </is>
      </c>
      <c r="K81" s="627" t="n">
        <v>2250</v>
      </c>
      <c r="M81" s="862" t="n"/>
      <c r="N81" s="863" t="n"/>
      <c r="O81" s="627" t="n"/>
      <c r="Q81" s="862" t="n"/>
      <c r="R81" s="627" t="n"/>
      <c r="S81" s="627" t="n"/>
      <c r="U81" s="862" t="n">
        <v>46090</v>
      </c>
      <c r="V81" s="863" t="inlineStr">
        <is>
          <t xml:space="preserve">invoiced </t>
        </is>
      </c>
      <c r="W81" s="627" t="n">
        <v>19550</v>
      </c>
      <c r="X81" s="561" t="inlineStr">
        <is>
          <t xml:space="preserve">Day shift till month end </t>
        </is>
      </c>
    </row>
    <row r="82" ht="18" customHeight="1" s="562">
      <c r="A82" s="627" t="n"/>
      <c r="B82" s="627" t="n"/>
      <c r="C82" s="627" t="n"/>
      <c r="E82" s="627" t="n"/>
      <c r="F82" s="627" t="n"/>
      <c r="G82" s="627" t="n"/>
      <c r="I82" s="862" t="n">
        <v>46097</v>
      </c>
      <c r="J82" s="863" t="inlineStr">
        <is>
          <t xml:space="preserve">invoiced </t>
        </is>
      </c>
      <c r="K82" s="627" t="n">
        <v>2250</v>
      </c>
      <c r="M82" s="862" t="n"/>
      <c r="N82" s="863" t="n"/>
      <c r="O82" s="627" t="n"/>
      <c r="Q82" s="627" t="n"/>
      <c r="R82" s="627" t="n"/>
      <c r="S82" s="627" t="n"/>
      <c r="U82" s="862" t="n">
        <v>46097</v>
      </c>
      <c r="V82" s="863" t="inlineStr">
        <is>
          <t xml:space="preserve">invoiced </t>
        </is>
      </c>
      <c r="W82" s="627" t="n">
        <v>18700</v>
      </c>
    </row>
    <row r="83" ht="18" customHeight="1" s="562">
      <c r="A83" s="627" t="n"/>
      <c r="B83" s="627" t="n"/>
      <c r="C83" s="627" t="n"/>
      <c r="E83" s="627" t="n"/>
      <c r="F83" s="627" t="n"/>
      <c r="G83" s="627" t="n"/>
      <c r="I83" s="862" t="n"/>
      <c r="J83" s="627" t="n"/>
      <c r="K83" s="627" t="n"/>
      <c r="M83" s="914" t="n"/>
      <c r="N83" s="627" t="n"/>
      <c r="O83" s="627" t="n"/>
      <c r="Q83" s="627" t="n"/>
      <c r="R83" s="627" t="n"/>
      <c r="S83" s="627" t="n"/>
      <c r="U83" s="627" t="n"/>
      <c r="V83" s="627" t="n"/>
      <c r="W83" s="627" t="n"/>
    </row>
    <row r="84" ht="18.75" customHeight="1" s="562">
      <c r="A84" s="627" t="n"/>
      <c r="B84" s="627" t="n"/>
      <c r="C84" s="639" t="n"/>
      <c r="E84" s="627" t="n"/>
      <c r="F84" s="627" t="n"/>
      <c r="G84" s="639" t="n"/>
      <c r="I84" s="862" t="n"/>
      <c r="J84" s="627" t="n"/>
      <c r="K84" s="639" t="n"/>
      <c r="M84" s="914" t="n"/>
      <c r="N84" s="627" t="n"/>
      <c r="O84" s="639" t="n"/>
      <c r="Q84" s="627" t="n"/>
      <c r="R84" s="627" t="n"/>
      <c r="S84" s="639" t="n"/>
      <c r="U84" s="627" t="n"/>
      <c r="V84" s="627" t="n"/>
      <c r="W84" s="639" t="n"/>
    </row>
    <row r="85" ht="18.75" customHeight="1" s="562">
      <c r="A85" s="627" t="n"/>
      <c r="B85" s="915" t="n"/>
      <c r="C85" s="631">
        <f>SUM(C80:C84)</f>
        <v/>
      </c>
      <c r="E85" s="627" t="n"/>
      <c r="F85" s="915" t="n"/>
      <c r="G85" s="631">
        <f>SUM(G80:G84)</f>
        <v/>
      </c>
      <c r="I85" s="914" t="n"/>
      <c r="J85" s="915" t="n"/>
      <c r="K85" s="631">
        <f>SUM(K80:K84)</f>
        <v/>
      </c>
      <c r="M85" s="914" t="n"/>
      <c r="N85" s="915" t="n"/>
      <c r="O85" s="631">
        <f>SUM(O80:O84)</f>
        <v/>
      </c>
      <c r="Q85" s="627" t="n"/>
      <c r="R85" s="915" t="n"/>
      <c r="S85" s="631">
        <f>SUM(S80:S84)</f>
        <v/>
      </c>
      <c r="U85" s="627" t="n"/>
      <c r="V85" s="915" t="n"/>
      <c r="W85" s="631">
        <f>SUM(W80:W84)</f>
        <v/>
      </c>
    </row>
    <row r="86" ht="18.75" customHeight="1" s="562">
      <c r="A86" s="643" t="inlineStr">
        <is>
          <t xml:space="preserve">Expenses </t>
        </is>
      </c>
      <c r="B86" s="617" t="n"/>
      <c r="C86" s="618" t="n"/>
      <c r="E86" s="1032" t="inlineStr">
        <is>
          <t xml:space="preserve">Expenses </t>
        </is>
      </c>
      <c r="F86" s="617" t="n"/>
      <c r="G86" s="618" t="n"/>
      <c r="I86" s="643" t="inlineStr">
        <is>
          <t xml:space="preserve">Expenses </t>
        </is>
      </c>
      <c r="J86" s="617" t="n"/>
      <c r="K86" s="618" t="n"/>
      <c r="M86" s="643" t="inlineStr">
        <is>
          <t xml:space="preserve">Expenses </t>
        </is>
      </c>
      <c r="N86" s="617" t="n"/>
      <c r="O86" s="618" t="n"/>
      <c r="Q86" s="643" t="inlineStr">
        <is>
          <t xml:space="preserve">Expenses </t>
        </is>
      </c>
      <c r="R86" s="617" t="n"/>
      <c r="S86" s="618" t="n"/>
      <c r="U86" s="643" t="inlineStr">
        <is>
          <t xml:space="preserve">Expenses </t>
        </is>
      </c>
      <c r="V86" s="617" t="n"/>
      <c r="W86" s="618" t="n"/>
    </row>
    <row r="87" ht="18" customHeight="1" s="562">
      <c r="A87" s="622" t="inlineStr">
        <is>
          <t>Date:</t>
        </is>
      </c>
      <c r="B87" s="623" t="inlineStr">
        <is>
          <t xml:space="preserve">Expense Name </t>
        </is>
      </c>
      <c r="C87" s="624" t="inlineStr">
        <is>
          <t xml:space="preserve">Amount </t>
        </is>
      </c>
      <c r="E87" s="622" t="inlineStr">
        <is>
          <t>Date:</t>
        </is>
      </c>
      <c r="F87" s="623" t="inlineStr">
        <is>
          <t xml:space="preserve">Expense Name </t>
        </is>
      </c>
      <c r="G87" s="624" t="inlineStr">
        <is>
          <t xml:space="preserve">Amount </t>
        </is>
      </c>
      <c r="I87" s="622" t="inlineStr">
        <is>
          <t>Date:</t>
        </is>
      </c>
      <c r="J87" s="623" t="inlineStr">
        <is>
          <t xml:space="preserve">Expense Name </t>
        </is>
      </c>
      <c r="K87" s="624" t="inlineStr">
        <is>
          <t xml:space="preserve">Amount </t>
        </is>
      </c>
      <c r="M87" s="622" t="inlineStr">
        <is>
          <t>Date:</t>
        </is>
      </c>
      <c r="N87" s="623" t="inlineStr">
        <is>
          <t xml:space="preserve">Expense Name </t>
        </is>
      </c>
      <c r="O87" s="624" t="inlineStr">
        <is>
          <t xml:space="preserve">Amount </t>
        </is>
      </c>
      <c r="Q87" s="622" t="inlineStr">
        <is>
          <t>Date:</t>
        </is>
      </c>
      <c r="R87" s="623" t="inlineStr">
        <is>
          <t xml:space="preserve">Expense Name </t>
        </is>
      </c>
      <c r="S87" s="624" t="inlineStr">
        <is>
          <t xml:space="preserve">Amount </t>
        </is>
      </c>
      <c r="U87" s="622" t="inlineStr">
        <is>
          <t>Date:</t>
        </is>
      </c>
      <c r="V87" s="623" t="inlineStr">
        <is>
          <t xml:space="preserve">Expense Name </t>
        </is>
      </c>
      <c r="W87" s="624" t="inlineStr">
        <is>
          <t xml:space="preserve">Amount </t>
        </is>
      </c>
    </row>
    <row r="88" ht="18" customHeight="1" s="562">
      <c r="A88" s="625" t="n"/>
      <c r="B88" s="623" t="n"/>
      <c r="C88" s="624" t="n"/>
      <c r="E88" s="625" t="n"/>
      <c r="F88" s="623" t="inlineStr">
        <is>
          <t>Martha Mashishi</t>
        </is>
      </c>
      <c r="G88" s="624" t="n"/>
      <c r="I88" s="625" t="n"/>
      <c r="J88" s="623" t="inlineStr">
        <is>
          <t>Martha Sone</t>
        </is>
      </c>
      <c r="K88" s="624" t="n"/>
      <c r="M88" s="625" t="n"/>
      <c r="N88" s="623" t="inlineStr">
        <is>
          <t>Nipho</t>
        </is>
      </c>
      <c r="O88" s="624" t="n"/>
      <c r="Q88" s="625" t="n"/>
      <c r="R88" s="623" t="n"/>
      <c r="S88" s="624" t="n"/>
      <c r="U88" s="625" t="n"/>
      <c r="V88" s="623" t="n"/>
      <c r="W88" s="624" t="n"/>
    </row>
    <row r="89" ht="18" customHeight="1" s="562">
      <c r="A89" s="628" t="n"/>
      <c r="B89" s="623" t="n"/>
      <c r="C89" s="624" t="n"/>
      <c r="E89" s="628" t="n"/>
      <c r="F89" s="623" t="inlineStr">
        <is>
          <t>Mbali</t>
        </is>
      </c>
      <c r="G89" s="624" t="n"/>
      <c r="I89" s="628" t="n"/>
      <c r="J89" s="623" t="inlineStr">
        <is>
          <t>Syliva</t>
        </is>
      </c>
      <c r="K89" s="624" t="n"/>
      <c r="M89" s="628" t="n"/>
      <c r="N89" s="623" t="n"/>
      <c r="O89" s="624" t="n"/>
      <c r="Q89" s="628" t="n"/>
      <c r="R89" s="623" t="n"/>
      <c r="S89" s="624" t="n"/>
      <c r="U89" s="628" t="n"/>
      <c r="V89" s="623" t="n"/>
      <c r="W89" s="624" t="n"/>
    </row>
    <row r="90" ht="18" customHeight="1" s="562">
      <c r="A90" s="628" t="n"/>
      <c r="B90" s="623" t="n"/>
      <c r="C90" s="624" t="n"/>
      <c r="E90" s="628" t="n"/>
      <c r="F90" s="623" t="n"/>
      <c r="G90" s="624" t="n"/>
      <c r="I90" s="628" t="n"/>
      <c r="J90" s="623" t="n"/>
      <c r="K90" s="624" t="n"/>
      <c r="M90" s="628" t="n"/>
      <c r="N90" s="623" t="n"/>
      <c r="O90" s="624" t="n"/>
      <c r="Q90" s="628" t="n"/>
      <c r="R90" s="623" t="n"/>
      <c r="S90" s="624" t="n"/>
      <c r="U90" s="628" t="n"/>
      <c r="V90" s="623" t="n"/>
      <c r="W90" s="624" t="n"/>
    </row>
    <row r="91" ht="18" customHeight="1" s="562">
      <c r="A91" s="622" t="n"/>
      <c r="B91" s="623" t="n"/>
      <c r="C91" s="624" t="n"/>
      <c r="E91" s="622" t="n"/>
      <c r="F91" s="623" t="n"/>
      <c r="G91" s="624" t="n"/>
      <c r="I91" s="622" t="n"/>
      <c r="J91" s="623" t="n"/>
      <c r="K91" s="624" t="n"/>
      <c r="M91" s="622" t="n"/>
      <c r="N91" s="623" t="n"/>
      <c r="O91" s="624" t="n"/>
      <c r="Q91" s="622" t="n"/>
      <c r="R91" s="623" t="n"/>
      <c r="S91" s="624" t="n"/>
      <c r="U91" s="622" t="n"/>
      <c r="V91" s="623" t="n"/>
      <c r="W91" s="624" t="n"/>
    </row>
    <row r="92" ht="18" customHeight="1" s="562">
      <c r="A92" s="622" t="n"/>
      <c r="B92" s="623" t="n"/>
      <c r="C92" s="624" t="n"/>
      <c r="E92" s="622" t="n"/>
      <c r="F92" s="623" t="n"/>
      <c r="G92" s="624" t="n"/>
      <c r="I92" s="622" t="n"/>
      <c r="J92" s="623" t="n"/>
      <c r="K92" s="624" t="n"/>
      <c r="M92" s="622" t="n"/>
      <c r="N92" s="623" t="n"/>
      <c r="O92" s="624" t="n"/>
      <c r="Q92" s="622" t="n"/>
      <c r="R92" s="623" t="n"/>
      <c r="S92" s="624" t="n"/>
      <c r="U92" s="622" t="n"/>
      <c r="V92" s="623" t="n"/>
      <c r="W92" s="624" t="n"/>
    </row>
    <row r="93" ht="18" customHeight="1" s="562">
      <c r="A93" s="622" t="n"/>
      <c r="B93" s="623" t="n"/>
      <c r="C93" s="624" t="n"/>
      <c r="E93" s="622" t="n"/>
      <c r="F93" s="623" t="n"/>
      <c r="G93" s="624" t="n"/>
      <c r="I93" s="622" t="n"/>
      <c r="J93" s="623" t="n"/>
      <c r="K93" s="624" t="n"/>
      <c r="M93" s="622" t="n"/>
      <c r="N93" s="623" t="n"/>
      <c r="O93" s="624" t="n"/>
      <c r="Q93" s="622" t="n"/>
      <c r="R93" s="623" t="n"/>
      <c r="S93" s="624" t="n"/>
      <c r="U93" s="622" t="n"/>
      <c r="V93" s="623" t="n"/>
      <c r="W93" s="624" t="n"/>
    </row>
    <row r="94" ht="18" customHeight="1" s="562">
      <c r="A94" s="622" t="n"/>
      <c r="B94" s="623" t="n"/>
      <c r="C94" s="624" t="n"/>
      <c r="E94" s="622" t="n"/>
      <c r="F94" s="623" t="n"/>
      <c r="G94" s="624" t="n"/>
      <c r="I94" s="622" t="n"/>
      <c r="J94" s="623" t="n"/>
      <c r="K94" s="624" t="n"/>
      <c r="M94" s="622" t="n"/>
      <c r="N94" s="623" t="n"/>
      <c r="O94" s="624" t="n"/>
      <c r="Q94" s="622" t="n"/>
      <c r="R94" s="623" t="n"/>
      <c r="S94" s="624" t="n"/>
      <c r="U94" s="622" t="n"/>
      <c r="V94" s="623" t="n"/>
      <c r="W94" s="624" t="n"/>
    </row>
    <row r="95" ht="18" customHeight="1" s="562">
      <c r="A95" s="622" t="n"/>
      <c r="B95" s="623" t="n"/>
      <c r="C95" s="624" t="n"/>
      <c r="E95" s="622" t="n"/>
      <c r="F95" s="623" t="n"/>
      <c r="G95" s="624" t="n"/>
      <c r="I95" s="622" t="n"/>
      <c r="J95" s="623" t="n"/>
      <c r="K95" s="624" t="n"/>
      <c r="M95" s="622" t="n"/>
      <c r="N95" s="623" t="n"/>
      <c r="O95" s="624" t="n"/>
      <c r="Q95" s="622" t="n"/>
      <c r="R95" s="623" t="n"/>
      <c r="S95" s="624" t="n"/>
      <c r="U95" s="622" t="n"/>
      <c r="V95" s="623" t="n"/>
      <c r="W95" s="624" t="n"/>
    </row>
    <row r="96" ht="18" customHeight="1" s="562">
      <c r="A96" s="622" t="n"/>
      <c r="B96" s="623" t="n"/>
      <c r="C96" s="624" t="n"/>
      <c r="E96" s="622" t="n"/>
      <c r="F96" s="623" t="n"/>
      <c r="G96" s="624" t="n"/>
      <c r="I96" s="622" t="n"/>
      <c r="J96" s="623" t="n"/>
      <c r="K96" s="624" t="n"/>
      <c r="M96" s="622" t="n"/>
      <c r="N96" s="623" t="n"/>
      <c r="O96" s="624" t="n"/>
      <c r="Q96" s="622" t="n"/>
      <c r="R96" s="623" t="n"/>
      <c r="S96" s="624" t="n"/>
      <c r="U96" s="622" t="n"/>
      <c r="V96" s="623" t="n"/>
      <c r="W96" s="624" t="n"/>
    </row>
    <row r="97" ht="18" customHeight="1" s="562">
      <c r="A97" s="622" t="n"/>
      <c r="B97" s="623" t="n"/>
      <c r="C97" s="624" t="n"/>
      <c r="E97" s="622" t="n"/>
      <c r="F97" s="623" t="n"/>
      <c r="G97" s="624" t="n"/>
      <c r="I97" s="622" t="n"/>
      <c r="J97" s="623" t="n"/>
      <c r="K97" s="624" t="n"/>
      <c r="M97" s="622" t="n"/>
      <c r="N97" s="623" t="n"/>
      <c r="O97" s="624" t="n"/>
      <c r="Q97" s="622" t="n"/>
      <c r="R97" s="623" t="n"/>
      <c r="S97" s="624" t="n"/>
      <c r="U97" s="622" t="n"/>
      <c r="V97" s="623" t="n"/>
      <c r="W97" s="624" t="n"/>
    </row>
    <row r="98" ht="18" customHeight="1" s="562">
      <c r="A98" s="622" t="n"/>
      <c r="B98" s="623" t="n"/>
      <c r="C98" s="624" t="n"/>
      <c r="E98" s="622" t="n"/>
      <c r="F98" s="623" t="n"/>
      <c r="G98" s="624" t="n"/>
      <c r="I98" s="622" t="n"/>
      <c r="J98" s="623" t="n"/>
      <c r="K98" s="624" t="n"/>
      <c r="M98" s="622" t="n"/>
      <c r="N98" s="623" t="n"/>
      <c r="O98" s="624" t="n"/>
      <c r="Q98" s="622" t="n"/>
      <c r="R98" s="623" t="n"/>
      <c r="S98" s="624" t="n"/>
      <c r="U98" s="622" t="n"/>
      <c r="V98" s="623" t="n"/>
      <c r="W98" s="624" t="n"/>
    </row>
    <row r="99" ht="18.75" customHeight="1" s="562">
      <c r="A99" s="622" t="n"/>
      <c r="B99" s="623" t="n"/>
      <c r="C99" s="624" t="n"/>
      <c r="E99" s="622" t="n"/>
      <c r="F99" s="623" t="n"/>
      <c r="G99" s="624" t="n"/>
      <c r="I99" s="622" t="n"/>
      <c r="J99" s="623" t="n"/>
      <c r="K99" s="624" t="n"/>
      <c r="M99" s="622" t="n"/>
      <c r="N99" s="623" t="n"/>
      <c r="O99" s="624" t="n"/>
      <c r="Q99" s="622" t="n"/>
      <c r="R99" s="623" t="n"/>
      <c r="S99" s="624" t="n"/>
      <c r="U99" s="622" t="n"/>
      <c r="V99" s="623" t="n"/>
      <c r="W99" s="624" t="n"/>
    </row>
    <row r="100" ht="18.75" customHeight="1" s="562">
      <c r="A100" s="644" t="inlineStr">
        <is>
          <t xml:space="preserve">Total Expense </t>
        </is>
      </c>
      <c r="B100" s="637" t="n"/>
      <c r="C100" s="645" t="n"/>
      <c r="E100" s="644" t="inlineStr">
        <is>
          <t xml:space="preserve">Total Expense </t>
        </is>
      </c>
      <c r="F100" s="637" t="n"/>
      <c r="G100" s="645" t="n"/>
      <c r="I100" s="644" t="inlineStr">
        <is>
          <t xml:space="preserve">Total Expense </t>
        </is>
      </c>
      <c r="J100" s="637" t="n"/>
      <c r="K100" s="645" t="n"/>
      <c r="M100" s="644" t="inlineStr">
        <is>
          <t xml:space="preserve">Total Expense </t>
        </is>
      </c>
      <c r="N100" s="637" t="n"/>
      <c r="O100" s="645" t="n"/>
      <c r="Q100" s="644" t="inlineStr">
        <is>
          <t xml:space="preserve">Total Expense </t>
        </is>
      </c>
      <c r="R100" s="637" t="n"/>
      <c r="S100" s="645" t="n"/>
      <c r="U100" s="644" t="inlineStr">
        <is>
          <t xml:space="preserve">Total Expense </t>
        </is>
      </c>
      <c r="V100" s="637" t="n"/>
      <c r="W100" s="645" t="n"/>
    </row>
    <row r="101" ht="18.75" customHeight="1" s="562">
      <c r="A101" s="646" t="inlineStr">
        <is>
          <t xml:space="preserve">Income - Expense </t>
        </is>
      </c>
      <c r="B101" s="637" t="n"/>
      <c r="C101" s="647" t="n"/>
      <c r="E101" s="646" t="inlineStr">
        <is>
          <t xml:space="preserve">Income - Expense </t>
        </is>
      </c>
      <c r="F101" s="637" t="n"/>
      <c r="G101" s="647" t="n"/>
      <c r="I101" s="646" t="inlineStr">
        <is>
          <t xml:space="preserve">Income - Expense </t>
        </is>
      </c>
      <c r="J101" s="637" t="n"/>
      <c r="K101" s="647" t="n"/>
      <c r="M101" s="646" t="inlineStr">
        <is>
          <t xml:space="preserve">Income - Expense </t>
        </is>
      </c>
      <c r="N101" s="637" t="n"/>
      <c r="O101" s="647" t="n"/>
      <c r="Q101" s="646" t="inlineStr">
        <is>
          <t xml:space="preserve">Income - Expense </t>
        </is>
      </c>
      <c r="R101" s="637" t="n"/>
      <c r="S101" s="647" t="n"/>
      <c r="U101" s="646" t="inlineStr">
        <is>
          <t xml:space="preserve">Income - Expense </t>
        </is>
      </c>
      <c r="V101" s="637" t="n"/>
      <c r="W101" s="647" t="n"/>
    </row>
    <row r="102" ht="16.5" customHeight="1" s="562"/>
    <row r="103" ht="18.75" customHeight="1" s="562">
      <c r="A103" s="1029" t="inlineStr">
        <is>
          <t xml:space="preserve">Fisher </t>
        </is>
      </c>
      <c r="B103" s="617" t="n"/>
      <c r="C103" s="637" t="n"/>
      <c r="E103" s="1029" t="inlineStr">
        <is>
          <t xml:space="preserve">Alberts </t>
        </is>
      </c>
      <c r="F103" s="617" t="n"/>
      <c r="G103" s="637" t="n"/>
      <c r="I103" s="1029" t="inlineStr">
        <is>
          <t xml:space="preserve">Peens </t>
        </is>
      </c>
      <c r="J103" s="617" t="n"/>
      <c r="K103" s="637" t="n"/>
      <c r="M103" s="1029" t="inlineStr">
        <is>
          <t>Ingham</t>
        </is>
      </c>
      <c r="N103" s="617" t="n"/>
      <c r="O103" s="637" t="n"/>
      <c r="Q103" s="1029" t="inlineStr">
        <is>
          <t>Gildenhyus</t>
        </is>
      </c>
      <c r="R103" s="617" t="n"/>
      <c r="S103" s="637" t="n"/>
    </row>
    <row r="104" ht="18.75" customHeight="1" s="562">
      <c r="A104" s="619" t="inlineStr">
        <is>
          <t xml:space="preserve">Income </t>
        </is>
      </c>
      <c r="B104" s="617" t="n"/>
      <c r="C104" s="618" t="n"/>
      <c r="E104" s="619" t="inlineStr">
        <is>
          <t xml:space="preserve">Income </t>
        </is>
      </c>
      <c r="F104" s="617" t="n"/>
      <c r="G104" s="618" t="n"/>
      <c r="I104" s="619" t="inlineStr">
        <is>
          <t xml:space="preserve">Income </t>
        </is>
      </c>
      <c r="J104" s="617" t="n"/>
      <c r="K104" s="618" t="n"/>
      <c r="M104" s="619" t="inlineStr">
        <is>
          <t xml:space="preserve">Income </t>
        </is>
      </c>
      <c r="N104" s="617" t="n"/>
      <c r="O104" s="618" t="n"/>
      <c r="Q104" s="619" t="inlineStr">
        <is>
          <t xml:space="preserve">Income </t>
        </is>
      </c>
      <c r="R104" s="617" t="n"/>
      <c r="S104" s="618" t="n"/>
    </row>
    <row r="105" ht="18" customHeight="1" s="562">
      <c r="A105" s="622" t="inlineStr">
        <is>
          <t>Date:</t>
        </is>
      </c>
      <c r="B105" s="623" t="n"/>
      <c r="C105" s="624" t="inlineStr">
        <is>
          <t xml:space="preserve">Payment </t>
        </is>
      </c>
      <c r="E105" s="622" t="inlineStr">
        <is>
          <t>Date:</t>
        </is>
      </c>
      <c r="F105" s="623" t="n"/>
      <c r="G105" s="624" t="inlineStr">
        <is>
          <t xml:space="preserve">Payment </t>
        </is>
      </c>
      <c r="I105" s="622" t="inlineStr">
        <is>
          <t>Date:</t>
        </is>
      </c>
      <c r="J105" s="623" t="n"/>
      <c r="K105" s="624" t="inlineStr">
        <is>
          <t xml:space="preserve">Payment </t>
        </is>
      </c>
      <c r="M105" s="622" t="inlineStr">
        <is>
          <t>Date:</t>
        </is>
      </c>
      <c r="N105" s="623" t="n"/>
      <c r="O105" s="624" t="inlineStr">
        <is>
          <t xml:space="preserve">Payment </t>
        </is>
      </c>
      <c r="Q105" s="622" t="inlineStr">
        <is>
          <t>Date:</t>
        </is>
      </c>
      <c r="R105" s="623" t="n"/>
      <c r="S105" s="624" t="inlineStr">
        <is>
          <t xml:space="preserve">Payment </t>
        </is>
      </c>
    </row>
    <row r="106" ht="18" customHeight="1" s="562">
      <c r="A106" s="862" t="n">
        <v>46082</v>
      </c>
      <c r="B106" s="863" t="inlineStr">
        <is>
          <t xml:space="preserve">invoiced </t>
        </is>
      </c>
      <c r="C106" s="627" t="n">
        <v>5500</v>
      </c>
      <c r="E106" s="862" t="n">
        <v>46082</v>
      </c>
      <c r="F106" s="863" t="inlineStr">
        <is>
          <t xml:space="preserve">invoiced </t>
        </is>
      </c>
      <c r="G106" s="627" t="n">
        <v>2850</v>
      </c>
      <c r="I106" s="862" t="n">
        <v>46088</v>
      </c>
      <c r="J106" s="863" t="inlineStr">
        <is>
          <t xml:space="preserve">Invioiced </t>
        </is>
      </c>
      <c r="K106" s="627" t="n">
        <v>10500</v>
      </c>
      <c r="M106" s="862" t="n">
        <v>46096</v>
      </c>
      <c r="N106" s="863" t="inlineStr">
        <is>
          <t xml:space="preserve">Invioiced </t>
        </is>
      </c>
      <c r="O106" s="627" t="n">
        <v>950</v>
      </c>
      <c r="Q106" s="862" t="n">
        <v>46107</v>
      </c>
      <c r="R106" s="863" t="inlineStr">
        <is>
          <t xml:space="preserve">invoiced </t>
        </is>
      </c>
      <c r="S106" s="627" t="n">
        <v>1750</v>
      </c>
    </row>
    <row r="107" ht="18" customHeight="1" s="562">
      <c r="A107" s="627" t="n"/>
      <c r="B107" s="627" t="n"/>
      <c r="C107" s="627" t="n"/>
      <c r="E107" s="862" t="n">
        <v>46085</v>
      </c>
      <c r="F107" s="863" t="inlineStr">
        <is>
          <t xml:space="preserve">invoiced </t>
        </is>
      </c>
      <c r="G107" s="627" t="n">
        <v>950</v>
      </c>
      <c r="I107" s="862" t="n">
        <v>46097</v>
      </c>
      <c r="J107" s="863" t="inlineStr">
        <is>
          <t xml:space="preserve">Invioiced </t>
        </is>
      </c>
      <c r="K107" s="627" t="n">
        <v>6000</v>
      </c>
      <c r="M107" s="862" t="n">
        <v>46097</v>
      </c>
      <c r="N107" s="863" t="inlineStr">
        <is>
          <t xml:space="preserve">Invioiced </t>
        </is>
      </c>
      <c r="O107" s="627" t="n">
        <v>1750</v>
      </c>
      <c r="Q107" s="862" t="n">
        <v>46108</v>
      </c>
      <c r="R107" s="863" t="inlineStr">
        <is>
          <t xml:space="preserve">invoiced </t>
        </is>
      </c>
      <c r="S107" s="864" t="n">
        <v>3800</v>
      </c>
    </row>
    <row r="108" ht="18" customHeight="1" s="562">
      <c r="A108" s="627" t="n"/>
      <c r="B108" s="627" t="n"/>
      <c r="C108" s="627" t="n"/>
      <c r="E108" s="627" t="n"/>
      <c r="F108" s="627" t="n"/>
      <c r="G108" s="627" t="n"/>
      <c r="I108" s="627" t="n"/>
      <c r="J108" s="627" t="n"/>
      <c r="K108" s="627" t="n"/>
      <c r="M108" s="862" t="n">
        <v>46098</v>
      </c>
      <c r="N108" s="627" t="inlineStr">
        <is>
          <t xml:space="preserve">Invioiced </t>
        </is>
      </c>
      <c r="O108" s="627" t="n">
        <v>1750</v>
      </c>
      <c r="Q108" s="862" t="n"/>
      <c r="R108" s="627" t="n"/>
      <c r="S108" s="627" t="n"/>
    </row>
    <row r="109" ht="18" customHeight="1" s="562">
      <c r="A109" s="627" t="n"/>
      <c r="B109" s="627" t="n"/>
      <c r="C109" s="627" t="n"/>
      <c r="E109" s="627" t="n"/>
      <c r="F109" s="627" t="n"/>
      <c r="G109" s="627" t="n"/>
      <c r="I109" s="627" t="n"/>
      <c r="J109" s="627" t="n"/>
      <c r="K109" s="627" t="n"/>
      <c r="M109" s="862" t="n">
        <v>46100</v>
      </c>
      <c r="N109" s="627" t="inlineStr">
        <is>
          <t xml:space="preserve">Invioiced </t>
        </is>
      </c>
      <c r="O109" s="627" t="n">
        <v>1750</v>
      </c>
      <c r="Q109" s="862" t="n"/>
      <c r="R109" s="627" t="n"/>
      <c r="S109" s="627" t="n"/>
    </row>
    <row r="110" ht="18.75" customHeight="1" s="562">
      <c r="A110" s="627" t="n"/>
      <c r="B110" s="627" t="n"/>
      <c r="C110" s="639" t="n"/>
      <c r="E110" s="627" t="n"/>
      <c r="F110" s="627" t="n"/>
      <c r="G110" s="639" t="n"/>
      <c r="I110" s="627" t="n"/>
      <c r="J110" s="627" t="n"/>
      <c r="K110" s="639" t="n"/>
      <c r="M110" s="914" t="n"/>
      <c r="N110" s="627" t="n"/>
      <c r="O110" s="639" t="n"/>
      <c r="Q110" s="914" t="n"/>
      <c r="R110" s="627" t="n"/>
      <c r="S110" s="639" t="n"/>
    </row>
    <row r="111" ht="18.75" customHeight="1" s="562">
      <c r="A111" s="627" t="n"/>
      <c r="B111" s="915" t="n"/>
      <c r="C111" s="631">
        <f>SUM(C106:C110)</f>
        <v/>
      </c>
      <c r="E111" s="627" t="n"/>
      <c r="F111" s="915" t="n"/>
      <c r="G111" s="631">
        <f>SUM(G106:G110)</f>
        <v/>
      </c>
      <c r="I111" s="627" t="n"/>
      <c r="J111" s="915" t="n"/>
      <c r="K111" s="631">
        <f>SUM(K106:K110)</f>
        <v/>
      </c>
      <c r="M111" s="627" t="n"/>
      <c r="N111" s="915" t="n"/>
      <c r="O111" s="631">
        <f>SUM(O106:O110)</f>
        <v/>
      </c>
      <c r="Q111" s="627" t="n"/>
      <c r="R111" s="915" t="n"/>
      <c r="S111" s="631">
        <f>SUM(S106:S110)</f>
        <v/>
      </c>
    </row>
    <row r="112" ht="18.75" customHeight="1" s="562">
      <c r="A112" s="633" t="inlineStr">
        <is>
          <t xml:space="preserve">Expenses </t>
        </is>
      </c>
      <c r="B112" s="617" t="n"/>
      <c r="C112" s="618" t="n"/>
      <c r="E112" s="643" t="inlineStr">
        <is>
          <t xml:space="preserve">Expenses </t>
        </is>
      </c>
      <c r="F112" s="617" t="n"/>
      <c r="G112" s="618" t="n"/>
      <c r="I112" s="643" t="inlineStr">
        <is>
          <t xml:space="preserve">Expenses </t>
        </is>
      </c>
      <c r="J112" s="617" t="n"/>
      <c r="K112" s="618" t="n"/>
      <c r="M112" s="643" t="inlineStr">
        <is>
          <t xml:space="preserve">Expenses </t>
        </is>
      </c>
      <c r="N112" s="617" t="n"/>
      <c r="O112" s="618" t="n"/>
      <c r="Q112" s="643" t="inlineStr">
        <is>
          <t xml:space="preserve">Expenses </t>
        </is>
      </c>
      <c r="R112" s="617" t="n"/>
      <c r="S112" s="618" t="n"/>
    </row>
    <row r="113" ht="18" customHeight="1" s="562">
      <c r="A113" s="622" t="inlineStr">
        <is>
          <t>Date:</t>
        </is>
      </c>
      <c r="B113" s="623" t="inlineStr">
        <is>
          <t xml:space="preserve">Expense Name </t>
        </is>
      </c>
      <c r="C113" s="624" t="inlineStr">
        <is>
          <t xml:space="preserve">Amount </t>
        </is>
      </c>
      <c r="E113" s="622" t="inlineStr">
        <is>
          <t>Date:</t>
        </is>
      </c>
      <c r="F113" s="623" t="inlineStr">
        <is>
          <t xml:space="preserve">Expense Name </t>
        </is>
      </c>
      <c r="G113" s="624" t="inlineStr">
        <is>
          <t xml:space="preserve">Amount </t>
        </is>
      </c>
      <c r="I113" s="622" t="inlineStr">
        <is>
          <t>Date:</t>
        </is>
      </c>
      <c r="J113" s="623" t="inlineStr">
        <is>
          <t xml:space="preserve">Expense Name </t>
        </is>
      </c>
      <c r="K113" s="624" t="inlineStr">
        <is>
          <t xml:space="preserve">Amount </t>
        </is>
      </c>
      <c r="M113" s="622" t="inlineStr">
        <is>
          <t>Date:</t>
        </is>
      </c>
      <c r="N113" s="623" t="inlineStr">
        <is>
          <t xml:space="preserve">Expense Name </t>
        </is>
      </c>
      <c r="O113" s="624" t="inlineStr">
        <is>
          <t xml:space="preserve">Amount </t>
        </is>
      </c>
      <c r="Q113" s="622" t="inlineStr">
        <is>
          <t>Date:</t>
        </is>
      </c>
      <c r="R113" s="623" t="inlineStr">
        <is>
          <t xml:space="preserve">Expense Name </t>
        </is>
      </c>
      <c r="S113" s="624" t="inlineStr">
        <is>
          <t xml:space="preserve">Amount </t>
        </is>
      </c>
    </row>
    <row r="114" ht="18" customHeight="1" s="562">
      <c r="A114" s="625" t="n"/>
      <c r="B114" s="623" t="n"/>
      <c r="C114" s="624" t="n"/>
      <c r="E114" s="625" t="n"/>
      <c r="F114" s="623" t="n"/>
      <c r="G114" s="624" t="n"/>
      <c r="I114" s="625" t="n"/>
      <c r="J114" s="623" t="n"/>
      <c r="K114" s="624" t="n"/>
      <c r="M114" s="625" t="n"/>
      <c r="N114" s="623" t="n"/>
      <c r="O114" s="624" t="n"/>
      <c r="Q114" s="625" t="n"/>
      <c r="R114" s="623" t="inlineStr">
        <is>
          <t xml:space="preserve">Emily </t>
        </is>
      </c>
      <c r="S114" s="624" t="n"/>
    </row>
    <row r="115" ht="18" customHeight="1" s="562">
      <c r="A115" s="628" t="n"/>
      <c r="B115" s="623" t="n"/>
      <c r="C115" s="624" t="n"/>
      <c r="E115" s="628" t="n"/>
      <c r="F115" s="623" t="n"/>
      <c r="G115" s="624" t="n"/>
      <c r="I115" s="628" t="n"/>
      <c r="J115" s="623" t="n"/>
      <c r="K115" s="624" t="n"/>
      <c r="M115" s="628" t="n"/>
      <c r="N115" s="623" t="n"/>
      <c r="O115" s="624" t="n"/>
      <c r="Q115" s="628" t="n"/>
      <c r="R115" s="623" t="n"/>
      <c r="S115" s="624" t="n"/>
    </row>
    <row r="116" ht="18" customHeight="1" s="562">
      <c r="A116" s="628" t="n"/>
      <c r="B116" s="623" t="n"/>
      <c r="C116" s="624" t="n"/>
      <c r="E116" s="628" t="n"/>
      <c r="F116" s="623" t="n"/>
      <c r="G116" s="624" t="n"/>
      <c r="I116" s="628" t="n"/>
      <c r="J116" s="623" t="n"/>
      <c r="K116" s="624" t="n"/>
      <c r="M116" s="628" t="n"/>
      <c r="N116" s="623" t="n"/>
      <c r="O116" s="624" t="n"/>
      <c r="Q116" s="628" t="n"/>
      <c r="R116" s="623" t="n"/>
      <c r="S116" s="624" t="n"/>
    </row>
    <row r="117" ht="18" customHeight="1" s="562">
      <c r="A117" s="622" t="n"/>
      <c r="B117" s="623" t="n"/>
      <c r="C117" s="624" t="n"/>
      <c r="E117" s="622" t="n"/>
      <c r="F117" s="623" t="n"/>
      <c r="G117" s="624" t="n"/>
      <c r="I117" s="622" t="n"/>
      <c r="J117" s="623" t="n"/>
      <c r="K117" s="624" t="n"/>
      <c r="M117" s="622" t="n"/>
      <c r="N117" s="623" t="n"/>
      <c r="O117" s="624" t="n"/>
      <c r="Q117" s="622" t="n"/>
      <c r="R117" s="623" t="n"/>
      <c r="S117" s="624" t="n"/>
    </row>
    <row r="118" ht="18" customHeight="1" s="562">
      <c r="A118" s="622" t="n"/>
      <c r="B118" s="623" t="n"/>
      <c r="C118" s="624" t="n"/>
      <c r="E118" s="622" t="n"/>
      <c r="F118" s="623" t="n"/>
      <c r="G118" s="624" t="n"/>
      <c r="I118" s="622" t="n"/>
      <c r="J118" s="623" t="n"/>
      <c r="K118" s="624" t="n"/>
      <c r="M118" s="622" t="n"/>
      <c r="N118" s="623" t="n"/>
      <c r="O118" s="624" t="n"/>
      <c r="Q118" s="622" t="n"/>
      <c r="R118" s="623" t="n"/>
      <c r="S118" s="624" t="n"/>
    </row>
    <row r="119" ht="18" customHeight="1" s="562">
      <c r="A119" s="622" t="n"/>
      <c r="B119" s="623" t="n"/>
      <c r="C119" s="624" t="n"/>
      <c r="E119" s="622" t="n"/>
      <c r="F119" s="623" t="n"/>
      <c r="G119" s="624" t="n"/>
      <c r="I119" s="622" t="n"/>
      <c r="J119" s="623" t="n"/>
      <c r="K119" s="624" t="n"/>
      <c r="M119" s="622" t="n"/>
      <c r="N119" s="623" t="n"/>
      <c r="O119" s="624" t="n"/>
      <c r="Q119" s="622" t="n"/>
      <c r="R119" s="623" t="n"/>
      <c r="S119" s="624" t="n"/>
    </row>
    <row r="120" ht="18" customHeight="1" s="562">
      <c r="A120" s="622" t="n"/>
      <c r="B120" s="623" t="n"/>
      <c r="C120" s="624" t="n"/>
      <c r="E120" s="622" t="n"/>
      <c r="F120" s="623" t="n"/>
      <c r="G120" s="624" t="n"/>
      <c r="I120" s="622" t="n"/>
      <c r="J120" s="623" t="n"/>
      <c r="K120" s="624" t="n"/>
      <c r="M120" s="622" t="n"/>
      <c r="N120" s="623" t="n"/>
      <c r="O120" s="624" t="n"/>
      <c r="Q120" s="622" t="n"/>
      <c r="R120" s="623" t="n"/>
      <c r="S120" s="624" t="n"/>
    </row>
    <row r="121" ht="18" customHeight="1" s="562">
      <c r="A121" s="622" t="n"/>
      <c r="B121" s="623" t="n"/>
      <c r="C121" s="624" t="n"/>
      <c r="E121" s="622" t="n"/>
      <c r="F121" s="623" t="n"/>
      <c r="G121" s="624" t="n"/>
      <c r="I121" s="622" t="n"/>
      <c r="J121" s="623" t="n"/>
      <c r="K121" s="624" t="n"/>
      <c r="M121" s="622" t="n"/>
      <c r="N121" s="623" t="n"/>
      <c r="O121" s="624" t="n"/>
      <c r="Q121" s="622" t="n"/>
      <c r="R121" s="623" t="n"/>
      <c r="S121" s="624" t="n"/>
    </row>
    <row r="122" ht="18" customHeight="1" s="562">
      <c r="A122" s="622" t="n"/>
      <c r="B122" s="623" t="n"/>
      <c r="C122" s="624" t="n"/>
      <c r="E122" s="622" t="n"/>
      <c r="F122" s="623" t="n"/>
      <c r="G122" s="624" t="n"/>
      <c r="I122" s="622" t="n"/>
      <c r="J122" s="623" t="n"/>
      <c r="K122" s="624" t="n"/>
      <c r="M122" s="622" t="n"/>
      <c r="N122" s="623" t="n"/>
      <c r="O122" s="624" t="n"/>
      <c r="Q122" s="622" t="n"/>
      <c r="R122" s="623" t="n"/>
      <c r="S122" s="624" t="n"/>
    </row>
    <row r="123" ht="18" customHeight="1" s="562">
      <c r="A123" s="622" t="n"/>
      <c r="B123" s="623" t="n"/>
      <c r="C123" s="624" t="n"/>
      <c r="E123" s="622" t="n"/>
      <c r="F123" s="623" t="n"/>
      <c r="G123" s="624" t="n"/>
      <c r="I123" s="622" t="n"/>
      <c r="J123" s="623" t="n"/>
      <c r="K123" s="624" t="n"/>
      <c r="M123" s="622" t="n"/>
      <c r="N123" s="623" t="n"/>
      <c r="O123" s="624" t="n"/>
      <c r="Q123" s="622" t="n"/>
      <c r="R123" s="623" t="n"/>
      <c r="S123" s="624" t="n"/>
    </row>
    <row r="124" ht="18" customHeight="1" s="562">
      <c r="A124" s="622" t="n"/>
      <c r="B124" s="623" t="n"/>
      <c r="C124" s="624" t="n"/>
      <c r="E124" s="622" t="n"/>
      <c r="F124" s="623" t="n"/>
      <c r="G124" s="624" t="n"/>
      <c r="I124" s="622" t="n"/>
      <c r="J124" s="623" t="n"/>
      <c r="K124" s="624" t="n"/>
      <c r="M124" s="622" t="n"/>
      <c r="N124" s="623" t="n"/>
      <c r="O124" s="624" t="n"/>
      <c r="Q124" s="622" t="n"/>
      <c r="R124" s="623" t="n"/>
      <c r="S124" s="624" t="n"/>
    </row>
    <row r="125" ht="18.75" customHeight="1" s="562">
      <c r="A125" s="622" t="n"/>
      <c r="B125" s="623" t="n"/>
      <c r="C125" s="624" t="n"/>
      <c r="E125" s="622" t="n"/>
      <c r="F125" s="623" t="n"/>
      <c r="G125" s="624" t="n"/>
      <c r="I125" s="622" t="n"/>
      <c r="J125" s="623" t="n"/>
      <c r="K125" s="624" t="n"/>
      <c r="M125" s="622" t="n"/>
      <c r="N125" s="623" t="n"/>
      <c r="O125" s="624" t="n"/>
      <c r="Q125" s="622" t="n"/>
      <c r="R125" s="623" t="n"/>
      <c r="S125" s="624" t="n"/>
    </row>
    <row r="126" ht="18.75" customHeight="1" s="562">
      <c r="A126" s="644" t="inlineStr">
        <is>
          <t xml:space="preserve">Total Expense </t>
        </is>
      </c>
      <c r="B126" s="637" t="n"/>
      <c r="C126" s="645" t="n"/>
      <c r="E126" s="644" t="inlineStr">
        <is>
          <t xml:space="preserve">Total Expense </t>
        </is>
      </c>
      <c r="F126" s="637" t="n"/>
      <c r="G126" s="645" t="n"/>
      <c r="I126" s="644" t="inlineStr">
        <is>
          <t xml:space="preserve">Total Expense </t>
        </is>
      </c>
      <c r="J126" s="637" t="n"/>
      <c r="K126" s="645" t="n"/>
      <c r="M126" s="644" t="inlineStr">
        <is>
          <t xml:space="preserve">Total Expense </t>
        </is>
      </c>
      <c r="N126" s="637" t="n"/>
      <c r="O126" s="645" t="n"/>
      <c r="Q126" s="644" t="inlineStr">
        <is>
          <t xml:space="preserve">Total Expense </t>
        </is>
      </c>
      <c r="R126" s="637" t="n"/>
      <c r="S126" s="645" t="n"/>
    </row>
    <row r="127" ht="18.75" customHeight="1" s="562">
      <c r="A127" s="646" t="inlineStr">
        <is>
          <t xml:space="preserve">Income - Expense </t>
        </is>
      </c>
      <c r="B127" s="637" t="n"/>
      <c r="C127" s="647" t="n"/>
      <c r="E127" s="646" t="inlineStr">
        <is>
          <t xml:space="preserve">Income - Expense </t>
        </is>
      </c>
      <c r="F127" s="637" t="n"/>
      <c r="G127" s="647" t="n"/>
      <c r="I127" s="646" t="inlineStr">
        <is>
          <t xml:space="preserve">Income - Expense </t>
        </is>
      </c>
      <c r="J127" s="637" t="n"/>
      <c r="K127" s="647" t="n"/>
      <c r="M127" s="646" t="inlineStr">
        <is>
          <t xml:space="preserve">Income - Expense </t>
        </is>
      </c>
      <c r="N127" s="637" t="n"/>
      <c r="O127" s="647" t="n"/>
      <c r="Q127" s="646" t="inlineStr">
        <is>
          <t xml:space="preserve">Income - Expense </t>
        </is>
      </c>
      <c r="R127" s="637" t="n"/>
      <c r="S127" s="647" t="n"/>
    </row>
    <row r="131" ht="16.5" customHeight="1" s="562"/>
    <row r="132" ht="24.75" customHeight="1" s="562">
      <c r="A132" s="648" t="inlineStr">
        <is>
          <t xml:space="preserve">Total from Clients </t>
        </is>
      </c>
      <c r="B132" s="649">
        <f>SUM(C8+G8+K8+O8+S8+W8+C34+G34+K34+O34+S34+W34+C59+G59+K59+O59+S59+W59+C85+G85+K85+O85+S85+W85+C111+G111+K111+O111+S111)</f>
        <v/>
      </c>
      <c r="F132" s="592" t="n"/>
      <c r="J132" s="623" t="n"/>
      <c r="K132" s="623" t="n"/>
      <c r="L132" s="626" t="n"/>
    </row>
  </sheetData>
  <mergeCells count="143">
    <mergeCell ref="M127:N127"/>
    <mergeCell ref="I103:K103"/>
    <mergeCell ref="I112:K112"/>
    <mergeCell ref="E23:F23"/>
    <mergeCell ref="Q78:S78"/>
    <mergeCell ref="Q127:R127"/>
    <mergeCell ref="A26:C26"/>
    <mergeCell ref="M104:O104"/>
    <mergeCell ref="E104:G104"/>
    <mergeCell ref="E26:G26"/>
    <mergeCell ref="A74:B74"/>
    <mergeCell ref="M74:N74"/>
    <mergeCell ref="U51:W51"/>
    <mergeCell ref="A52:C52"/>
    <mergeCell ref="A101:B101"/>
    <mergeCell ref="U100:V100"/>
    <mergeCell ref="U1:W1"/>
    <mergeCell ref="E49:F49"/>
    <mergeCell ref="U35:W35"/>
    <mergeCell ref="Q104:S104"/>
    <mergeCell ref="Q74:R74"/>
    <mergeCell ref="Q49:R49"/>
    <mergeCell ref="A77:C77"/>
    <mergeCell ref="E101:F101"/>
    <mergeCell ref="A126:B126"/>
    <mergeCell ref="M126:N126"/>
    <mergeCell ref="M100:N100"/>
    <mergeCell ref="I2:K2"/>
    <mergeCell ref="Q77:S77"/>
    <mergeCell ref="E100:F100"/>
    <mergeCell ref="M52:O52"/>
    <mergeCell ref="M9:O9"/>
    <mergeCell ref="U27:W27"/>
    <mergeCell ref="E75:F75"/>
    <mergeCell ref="E35:G35"/>
    <mergeCell ref="M50:N50"/>
    <mergeCell ref="Q75:R75"/>
    <mergeCell ref="U77:W77"/>
    <mergeCell ref="M2:O2"/>
    <mergeCell ref="Q103:S103"/>
    <mergeCell ref="E60:G60"/>
    <mergeCell ref="E78:G78"/>
    <mergeCell ref="Q60:S60"/>
    <mergeCell ref="E127:F127"/>
    <mergeCell ref="E77:G77"/>
    <mergeCell ref="M86:O86"/>
    <mergeCell ref="A104:C104"/>
    <mergeCell ref="E86:G86"/>
    <mergeCell ref="Q23:R23"/>
    <mergeCell ref="I1:K1"/>
    <mergeCell ref="M26:O26"/>
    <mergeCell ref="Q86:S86"/>
    <mergeCell ref="I78:K78"/>
    <mergeCell ref="I51:K51"/>
    <mergeCell ref="I127:J127"/>
    <mergeCell ref="E112:G112"/>
    <mergeCell ref="I24:J24"/>
    <mergeCell ref="U26:W26"/>
    <mergeCell ref="U24:V24"/>
    <mergeCell ref="M101:N101"/>
    <mergeCell ref="A51:C51"/>
    <mergeCell ref="A100:B100"/>
    <mergeCell ref="M24:N24"/>
    <mergeCell ref="A60:C60"/>
    <mergeCell ref="I27:K27"/>
    <mergeCell ref="M35:O35"/>
    <mergeCell ref="U50:V50"/>
    <mergeCell ref="I74:J74"/>
    <mergeCell ref="E1:G1"/>
    <mergeCell ref="Q51:S51"/>
    <mergeCell ref="U2:W2"/>
    <mergeCell ref="Q100:R100"/>
    <mergeCell ref="A49:B49"/>
    <mergeCell ref="Q35:S35"/>
    <mergeCell ref="U49:V49"/>
    <mergeCell ref="E9:G9"/>
    <mergeCell ref="M49:N49"/>
    <mergeCell ref="A2:C2"/>
    <mergeCell ref="A86:C86"/>
    <mergeCell ref="Q126:R126"/>
    <mergeCell ref="I126:J126"/>
    <mergeCell ref="E2:G2"/>
    <mergeCell ref="M77:O77"/>
    <mergeCell ref="I52:K52"/>
    <mergeCell ref="Q27:S27"/>
    <mergeCell ref="A75:B75"/>
    <mergeCell ref="U52:W52"/>
    <mergeCell ref="M75:N75"/>
    <mergeCell ref="A112:C112"/>
    <mergeCell ref="M103:O103"/>
    <mergeCell ref="M112:O112"/>
    <mergeCell ref="I23:J23"/>
    <mergeCell ref="U78:W78"/>
    <mergeCell ref="A23:B23"/>
    <mergeCell ref="I86:K86"/>
    <mergeCell ref="Q112:S112"/>
    <mergeCell ref="I104:K104"/>
    <mergeCell ref="M23:N23"/>
    <mergeCell ref="I26:K26"/>
    <mergeCell ref="I50:J50"/>
    <mergeCell ref="M51:O51"/>
    <mergeCell ref="E51:G51"/>
    <mergeCell ref="M60:O60"/>
    <mergeCell ref="A24:B24"/>
    <mergeCell ref="E24:F24"/>
    <mergeCell ref="I49:J49"/>
    <mergeCell ref="Q26:S26"/>
    <mergeCell ref="Q24:R24"/>
    <mergeCell ref="A27:C27"/>
    <mergeCell ref="U74:V74"/>
    <mergeCell ref="Q1:S1"/>
    <mergeCell ref="I101:J101"/>
    <mergeCell ref="E126:F126"/>
    <mergeCell ref="U101:V101"/>
    <mergeCell ref="M27:O27"/>
    <mergeCell ref="I100:J100"/>
    <mergeCell ref="E27:G27"/>
    <mergeCell ref="Q9:S9"/>
    <mergeCell ref="I75:J75"/>
    <mergeCell ref="I35:K35"/>
    <mergeCell ref="Q50:R50"/>
    <mergeCell ref="A35:C35"/>
    <mergeCell ref="E74:F74"/>
    <mergeCell ref="U75:V75"/>
    <mergeCell ref="Q2:S2"/>
    <mergeCell ref="I60:K60"/>
    <mergeCell ref="I9:K9"/>
    <mergeCell ref="A9:C9"/>
    <mergeCell ref="U60:W60"/>
    <mergeCell ref="U9:W9"/>
    <mergeCell ref="I77:K77"/>
    <mergeCell ref="E52:G52"/>
    <mergeCell ref="A1:C1"/>
    <mergeCell ref="A103:C103"/>
    <mergeCell ref="U23:V23"/>
    <mergeCell ref="Q52:S52"/>
    <mergeCell ref="M1:O1"/>
    <mergeCell ref="Q101:R101"/>
    <mergeCell ref="A78:C78"/>
    <mergeCell ref="A127:B127"/>
    <mergeCell ref="U86:W86"/>
    <mergeCell ref="M78:O78"/>
    <mergeCell ref="E103:G10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4921875" defaultRowHeight="15.75" customHeight="0" zeroHeight="0" outlineLevelRow="0"/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N4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2" topLeftCell="C27" activePane="bottomRight" state="frozen"/>
      <selection pane="topLeft" activeCell="A1" activeCellId="0" sqref="A1"/>
      <selection pane="topRight" activeCell="C1" activeCellId="0" sqref="C1"/>
      <selection pane="bottomLeft" activeCell="A27" activeCellId="0" sqref="A27"/>
      <selection pane="bottomRight" activeCell="A42" activeCellId="0" sqref="A42"/>
    </sheetView>
  </sheetViews>
  <sheetFormatPr baseColWidth="8" defaultColWidth="10.4921875" defaultRowHeight="15.75" customHeight="0" zeroHeight="0" outlineLevelRow="0"/>
  <cols>
    <col width="21" customWidth="1" style="561" min="1" max="1"/>
    <col width="19.67" customWidth="1" style="561" min="2" max="2"/>
    <col width="28.83" customWidth="1" style="561" min="3" max="3"/>
    <col width="18.16" customWidth="1" style="561" min="4" max="4"/>
    <col width="28.83" customWidth="1" style="561" min="5" max="5"/>
    <col width="20.33" customWidth="1" style="561" min="6" max="6"/>
    <col width="24.16" customWidth="1" style="561" min="7" max="7"/>
    <col width="15.83" customWidth="1" style="561" min="8" max="8"/>
    <col width="25.16" customWidth="1" style="561" min="9" max="9"/>
    <col width="18.5" customWidth="1" style="561" min="10" max="10"/>
    <col width="24.5" customWidth="1" style="561" min="11" max="11"/>
    <col width="21.5" customWidth="1" style="561" min="12" max="12"/>
    <col width="23.83" customWidth="1" style="561" min="13" max="13"/>
    <col width="33" customWidth="1" style="561" min="14" max="14"/>
    <col width="16.67" customWidth="1" style="561" min="15" max="15"/>
    <col width="39" customWidth="1" style="561" min="16" max="16"/>
    <col width="34.67" customWidth="1" style="561" min="17" max="17"/>
    <col width="24.67" customWidth="1" style="561" min="18" max="18"/>
    <col width="40" customWidth="1" style="561" min="19" max="19"/>
    <col width="35.5" customWidth="1" style="561" min="20" max="20"/>
    <col width="20" customWidth="1" style="561" min="21" max="21"/>
    <col width="32.16" customWidth="1" style="561" min="22" max="22"/>
    <col width="33.67" customWidth="1" style="561" min="23" max="23"/>
    <col width="22.5" customWidth="1" style="561" min="24" max="24"/>
    <col width="43.16" customWidth="1" style="561" min="25" max="25"/>
    <col width="15.33" customWidth="1" style="561" min="26" max="26"/>
    <col width="30.16" customWidth="1" style="561" min="27" max="27"/>
    <col width="19.33" customWidth="1" style="561" min="28" max="28"/>
    <col width="22.5" customWidth="1" style="561" min="29" max="29"/>
    <col width="17.16" customWidth="1" style="561" min="30" max="30"/>
    <col width="18.33" customWidth="1" style="561" min="31" max="31"/>
    <col width="22.33" customWidth="1" style="561" min="32" max="32"/>
    <col width="17.33" customWidth="1" style="561" min="33" max="33"/>
    <col width="29.83" customWidth="1" style="561" min="34" max="34"/>
    <col width="30.67" customWidth="1" style="561" min="35" max="35"/>
    <col width="25.83" customWidth="1" style="561" min="36" max="36"/>
    <col width="23.67" customWidth="1" style="561" min="37" max="37"/>
    <col width="22.67" customWidth="1" style="561" min="38" max="38"/>
    <col width="23.16" customWidth="1" style="561" min="39" max="39"/>
    <col width="19.33" customWidth="1" style="561" min="40" max="40"/>
  </cols>
  <sheetData>
    <row r="1" ht="21" customHeight="1" s="562">
      <c r="C1" s="654" t="inlineStr">
        <is>
          <t>Linda Rapuluchukwa</t>
        </is>
      </c>
      <c r="D1" s="654" t="inlineStr">
        <is>
          <t>Sophie Koga</t>
        </is>
      </c>
      <c r="E1" s="654" t="inlineStr">
        <is>
          <t>Joyce Mutambiranwa</t>
        </is>
      </c>
      <c r="F1" s="654" t="inlineStr">
        <is>
          <t>Emily Mentula</t>
        </is>
      </c>
      <c r="G1" s="654" t="inlineStr">
        <is>
          <t>Cynthia Makondo</t>
        </is>
      </c>
      <c r="H1" s="655" t="inlineStr">
        <is>
          <t>Ruth Nnadi</t>
        </is>
      </c>
      <c r="I1" s="654" t="inlineStr">
        <is>
          <t>Christina Maluleka</t>
        </is>
      </c>
      <c r="J1" s="654" t="inlineStr">
        <is>
          <t>Susan Murire</t>
        </is>
      </c>
      <c r="K1" s="654" t="inlineStr">
        <is>
          <t>Ndai Mapenyenye</t>
        </is>
      </c>
      <c r="L1" s="654" t="inlineStr">
        <is>
          <t>Adaobi Ejikeme</t>
        </is>
      </c>
      <c r="M1" s="654" t="inlineStr">
        <is>
          <t>Merriam Maluleke</t>
        </is>
      </c>
      <c r="N1" s="654" t="inlineStr">
        <is>
          <t>Jane Mokgaetsi Moekwa</t>
        </is>
      </c>
      <c r="O1" s="654" t="inlineStr">
        <is>
          <t>Sylvia Nene</t>
        </is>
      </c>
      <c r="P1" s="654" t="inlineStr">
        <is>
          <t>Matodzi Sylvia Mutavhatsindi</t>
        </is>
      </c>
      <c r="Q1" s="654" t="inlineStr">
        <is>
          <t>Siphilisiwe Nkala(Patricia)</t>
        </is>
      </c>
      <c r="R1" s="654" t="inlineStr">
        <is>
          <t>Refiloe Khuzwayo</t>
        </is>
      </c>
      <c r="S1" s="654" t="inlineStr">
        <is>
          <t>Mmamaswabi Emma Dhlamini</t>
        </is>
      </c>
      <c r="T1" s="654" t="inlineStr">
        <is>
          <t xml:space="preserve">Tracy Nothando Nyirenda </t>
        </is>
      </c>
      <c r="U1" s="654" t="inlineStr">
        <is>
          <t xml:space="preserve">Marion Goeda </t>
        </is>
      </c>
      <c r="V1" s="654" t="inlineStr">
        <is>
          <t>Siphethokhuhle Nkomo</t>
        </is>
      </c>
      <c r="W1" s="866" t="inlineStr">
        <is>
          <t>Matshidiso Leah Aphane</t>
        </is>
      </c>
      <c r="X1" s="654" t="inlineStr">
        <is>
          <t xml:space="preserve">Monique Bosch </t>
        </is>
      </c>
      <c r="Y1" s="654" t="inlineStr">
        <is>
          <t>Nhlakanipho (Nipho) Tshabalala</t>
        </is>
      </c>
      <c r="Z1" s="654" t="inlineStr">
        <is>
          <t>Musa Zulu</t>
        </is>
      </c>
      <c r="AA1" s="654" t="inlineStr">
        <is>
          <t>Busisiwe Mandiyanike</t>
        </is>
      </c>
      <c r="AB1" s="916" t="inlineStr">
        <is>
          <t>Emiia Mshaba</t>
        </is>
      </c>
      <c r="AC1" s="916" t="inlineStr">
        <is>
          <t>Martha Mashishi</t>
        </is>
      </c>
      <c r="AD1" s="916" t="inlineStr">
        <is>
          <t xml:space="preserve">Sara Mdaka </t>
        </is>
      </c>
      <c r="AE1" s="916" t="inlineStr">
        <is>
          <t xml:space="preserve">Martha Sona </t>
        </is>
      </c>
      <c r="AF1" s="654" t="inlineStr">
        <is>
          <t xml:space="preserve">Julia Ramoroka </t>
        </is>
      </c>
      <c r="AG1" s="654" t="inlineStr">
        <is>
          <t>Mbali Ndaba</t>
        </is>
      </c>
      <c r="AH1" s="654" t="inlineStr">
        <is>
          <t>Philadelphia Mashaba</t>
        </is>
      </c>
      <c r="AI1" s="654" t="inlineStr">
        <is>
          <t xml:space="preserve">Annika Van Rensburg </t>
        </is>
      </c>
      <c r="AJ1" s="654" t="inlineStr">
        <is>
          <t>Fortunate Mabizela</t>
        </is>
      </c>
      <c r="AK1" s="916" t="inlineStr">
        <is>
          <t xml:space="preserve">Beauty Masopye </t>
        </is>
      </c>
      <c r="AL1" s="654" t="inlineStr">
        <is>
          <t>Thalitha Managa</t>
        </is>
      </c>
      <c r="AM1" s="654" t="inlineStr">
        <is>
          <t xml:space="preserve">Dolly Chauke </t>
        </is>
      </c>
      <c r="AN1" s="654" t="inlineStr">
        <is>
          <t>Annie Mabuto</t>
        </is>
      </c>
    </row>
    <row r="2" ht="18.75" customHeight="1" s="562">
      <c r="A2" s="658" t="n"/>
      <c r="B2" s="659" t="inlineStr">
        <is>
          <t>Caregiver Price</t>
        </is>
      </c>
      <c r="C2" s="659" t="n"/>
      <c r="D2" s="659" t="n">
        <v>550</v>
      </c>
      <c r="E2" s="659" t="n">
        <v>500</v>
      </c>
      <c r="F2" s="659" t="n">
        <v>450</v>
      </c>
      <c r="G2" s="659" t="n">
        <v>450</v>
      </c>
      <c r="H2" s="659" t="n">
        <v>450</v>
      </c>
      <c r="I2" s="659" t="n">
        <v>450</v>
      </c>
      <c r="J2" s="659" t="n">
        <v>450</v>
      </c>
      <c r="K2" s="659" t="n">
        <v>500</v>
      </c>
      <c r="L2" s="659" t="n">
        <v>450</v>
      </c>
      <c r="M2" s="659" t="n">
        <v>450</v>
      </c>
      <c r="N2" s="659" t="n">
        <v>450</v>
      </c>
      <c r="O2" s="659" t="n">
        <v>450</v>
      </c>
      <c r="P2" s="659" t="n">
        <v>450</v>
      </c>
      <c r="Q2" s="659" t="n">
        <v>450</v>
      </c>
      <c r="R2" s="659" t="n">
        <v>450</v>
      </c>
      <c r="S2" s="659" t="n">
        <v>450</v>
      </c>
      <c r="T2" s="659" t="n">
        <v>450</v>
      </c>
      <c r="U2" s="659" t="n">
        <v>450</v>
      </c>
      <c r="V2" s="659" t="n">
        <v>450</v>
      </c>
      <c r="W2" s="659" t="n"/>
      <c r="X2" s="659" t="n"/>
      <c r="Y2" s="659" t="n">
        <v>500</v>
      </c>
      <c r="Z2" s="659" t="n">
        <v>450</v>
      </c>
      <c r="AA2" s="659" t="n">
        <v>450</v>
      </c>
      <c r="AB2" s="659" t="n">
        <v>450</v>
      </c>
      <c r="AC2" s="659" t="n">
        <v>450</v>
      </c>
      <c r="AD2" s="659" t="n">
        <v>500</v>
      </c>
      <c r="AE2" s="659" t="n">
        <v>450</v>
      </c>
      <c r="AF2" s="659" t="n">
        <v>450</v>
      </c>
      <c r="AG2" s="659" t="n">
        <v>450</v>
      </c>
      <c r="AH2" s="659" t="n">
        <v>500</v>
      </c>
      <c r="AI2" s="659" t="n"/>
      <c r="AJ2" s="659" t="n">
        <v>450</v>
      </c>
      <c r="AK2" s="659" t="n">
        <v>450</v>
      </c>
      <c r="AL2" s="659" t="n">
        <v>500</v>
      </c>
      <c r="AM2" s="917" t="n">
        <v>500</v>
      </c>
      <c r="AN2" s="917" t="n">
        <v>450</v>
      </c>
    </row>
    <row r="3" ht="21" customHeight="1" s="562">
      <c r="A3" s="1033" t="inlineStr">
        <is>
          <t xml:space="preserve">Date </t>
        </is>
      </c>
      <c r="B3" s="1033" t="inlineStr">
        <is>
          <t>Days of  Week</t>
        </is>
      </c>
      <c r="C3" s="669" t="n"/>
      <c r="D3" s="669" t="n"/>
      <c r="E3" s="669" t="n"/>
      <c r="F3" s="669" t="n"/>
      <c r="G3" s="669" t="n"/>
      <c r="H3" s="669" t="n"/>
      <c r="I3" s="669" t="n"/>
      <c r="J3" s="669" t="n"/>
      <c r="K3" s="669" t="n"/>
      <c r="L3" s="668" t="n"/>
      <c r="M3" s="669" t="n"/>
      <c r="N3" s="669" t="n"/>
      <c r="O3" s="669" t="n"/>
      <c r="P3" s="669" t="n"/>
      <c r="Q3" s="669" t="n"/>
      <c r="R3" s="669" t="n"/>
      <c r="S3" s="669" t="n"/>
      <c r="T3" s="669" t="n"/>
      <c r="U3" s="669" t="n"/>
      <c r="V3" s="868" t="n"/>
      <c r="W3" s="870" t="n"/>
      <c r="X3" s="780" t="n"/>
      <c r="Y3" s="870" t="n"/>
      <c r="Z3" s="870" t="n"/>
      <c r="AA3" s="870" t="n"/>
      <c r="AB3" s="870" t="n"/>
      <c r="AC3" s="918" t="n"/>
      <c r="AD3" s="870" t="n"/>
      <c r="AE3" s="870" t="n"/>
      <c r="AF3" s="918" t="n"/>
      <c r="AG3" s="918" t="n"/>
      <c r="AH3" s="918" t="n"/>
      <c r="AI3" s="918" t="n"/>
      <c r="AJ3" s="918" t="n"/>
      <c r="AK3" s="870" t="n"/>
      <c r="AL3" s="870" t="n"/>
      <c r="AM3" s="870" t="n"/>
      <c r="AN3" s="870" t="n"/>
    </row>
    <row r="4" ht="21" customHeight="1" s="562">
      <c r="A4" s="1034" t="n">
        <v>46081</v>
      </c>
      <c r="B4" s="1035" t="inlineStr">
        <is>
          <t>Saturday</t>
        </is>
      </c>
      <c r="C4" s="717" t="n"/>
      <c r="D4" s="746" t="n"/>
      <c r="E4" s="673" t="n"/>
      <c r="F4" s="757" t="n"/>
      <c r="G4" s="847" t="n"/>
      <c r="H4" s="717" t="n"/>
      <c r="I4" s="1036" t="n"/>
      <c r="J4" s="717" t="n"/>
      <c r="K4" s="873" t="n"/>
      <c r="L4" s="692" t="inlineStr">
        <is>
          <t>O Niel -R500</t>
        </is>
      </c>
      <c r="M4" s="873" t="n"/>
      <c r="N4" s="717" t="n"/>
      <c r="O4" s="719" t="n"/>
      <c r="P4" s="719" t="n"/>
      <c r="Q4" s="719" t="n"/>
      <c r="R4" s="591" t="n"/>
      <c r="S4" s="717" t="n"/>
      <c r="T4" s="757" t="n"/>
      <c r="U4" s="816" t="n"/>
      <c r="V4" s="790" t="n"/>
      <c r="W4" s="1037" t="n"/>
      <c r="X4" s="790" t="n"/>
      <c r="Y4" s="924" t="n"/>
      <c r="AA4" s="924" t="n"/>
      <c r="AC4" s="924" t="n"/>
      <c r="AE4" s="707" t="n"/>
      <c r="AF4" s="924" t="n"/>
      <c r="AG4" s="1038" t="n"/>
      <c r="AH4" s="692" t="inlineStr">
        <is>
          <t xml:space="preserve">O Niel </t>
        </is>
      </c>
      <c r="AI4" s="924" t="n"/>
      <c r="AJ4" s="924" t="n"/>
      <c r="AK4" s="924" t="n"/>
      <c r="AL4" s="924" t="n"/>
      <c r="AM4" s="924" t="n"/>
      <c r="AN4" s="924" t="n"/>
    </row>
    <row r="5" ht="21" customHeight="1" s="562">
      <c r="A5" s="1034" t="n">
        <v>46082</v>
      </c>
      <c r="B5" s="1039" t="inlineStr">
        <is>
          <t xml:space="preserve">Sunday </t>
        </is>
      </c>
      <c r="C5" s="746" t="n"/>
      <c r="D5" s="1040" t="inlineStr">
        <is>
          <t>Theron</t>
        </is>
      </c>
      <c r="E5" s="746" t="n"/>
      <c r="F5" s="1041" t="inlineStr">
        <is>
          <t>Apie</t>
        </is>
      </c>
      <c r="G5" s="1042" t="inlineStr">
        <is>
          <t xml:space="preserve">Richards </t>
        </is>
      </c>
      <c r="H5" s="673" t="n"/>
      <c r="I5" s="1043" t="inlineStr">
        <is>
          <t>Klientjie</t>
        </is>
      </c>
      <c r="J5" s="746" t="n"/>
      <c r="K5" s="591" t="n"/>
      <c r="L5" s="991" t="inlineStr">
        <is>
          <t>O Niel -R500</t>
        </is>
      </c>
      <c r="M5" s="808" t="inlineStr">
        <is>
          <t xml:space="preserve">De Waal </t>
        </is>
      </c>
      <c r="N5" s="679" t="n"/>
      <c r="O5" s="840" t="n"/>
      <c r="P5" s="679" t="n"/>
      <c r="Q5" s="840" t="n"/>
      <c r="R5" s="591" t="n"/>
      <c r="S5" s="673" t="n"/>
      <c r="T5" s="1044" t="inlineStr">
        <is>
          <t>Papou</t>
        </is>
      </c>
      <c r="U5" s="676" t="n"/>
      <c r="V5" s="795" t="n"/>
      <c r="W5" s="1016" t="n"/>
      <c r="X5" s="795" t="n"/>
      <c r="Y5" s="673" t="n"/>
      <c r="Z5" s="591" t="n"/>
      <c r="AA5" s="673" t="n"/>
      <c r="AB5" s="892" t="inlineStr">
        <is>
          <t>Scroope- R400</t>
        </is>
      </c>
      <c r="AC5" s="673" t="n"/>
      <c r="AD5" s="591" t="n"/>
      <c r="AE5" s="676" t="n"/>
      <c r="AF5" s="673" t="n"/>
      <c r="AG5" s="837" t="n"/>
      <c r="AH5" s="698" t="inlineStr">
        <is>
          <t xml:space="preserve">O Niel </t>
        </is>
      </c>
      <c r="AI5" s="673" t="n"/>
      <c r="AJ5" s="673" t="n"/>
      <c r="AK5" s="876" t="n"/>
      <c r="AL5" s="876" t="n"/>
      <c r="AM5" s="876" t="n"/>
      <c r="AN5" s="876" t="n"/>
    </row>
    <row r="6" ht="21" customHeight="1" s="562">
      <c r="A6" s="1034" t="n">
        <v>46083</v>
      </c>
      <c r="B6" s="1039" t="inlineStr">
        <is>
          <t>Monday</t>
        </is>
      </c>
      <c r="C6" s="710" t="inlineStr">
        <is>
          <t>Johnstons</t>
        </is>
      </c>
      <c r="D6" s="720" t="inlineStr">
        <is>
          <t>Theron</t>
        </is>
      </c>
      <c r="E6" s="1045" t="inlineStr">
        <is>
          <t>Du Plessis</t>
        </is>
      </c>
      <c r="F6" s="1046" t="inlineStr">
        <is>
          <t>Apie</t>
        </is>
      </c>
      <c r="G6" s="1047" t="inlineStr">
        <is>
          <t xml:space="preserve">Richards </t>
        </is>
      </c>
      <c r="H6" s="673" t="n"/>
      <c r="I6" s="1048" t="inlineStr">
        <is>
          <t>Klientjie</t>
        </is>
      </c>
      <c r="J6" s="1049" t="inlineStr">
        <is>
          <t>Bierman</t>
        </is>
      </c>
      <c r="K6" s="673" t="n"/>
      <c r="L6" s="591" t="n"/>
      <c r="M6" s="812" t="inlineStr">
        <is>
          <t xml:space="preserve">De Waal </t>
        </is>
      </c>
      <c r="N6" s="679" t="n"/>
      <c r="O6" s="1050" t="inlineStr">
        <is>
          <t xml:space="preserve">Maria Burgum </t>
        </is>
      </c>
      <c r="P6" s="673" t="n"/>
      <c r="Q6" s="1051" t="inlineStr">
        <is>
          <t xml:space="preserve">Botes </t>
        </is>
      </c>
      <c r="R6" s="676" t="n"/>
      <c r="S6" s="715" t="n"/>
      <c r="T6" s="717" t="n"/>
      <c r="U6" s="930" t="inlineStr">
        <is>
          <t xml:space="preserve">Alberts </t>
        </is>
      </c>
      <c r="V6" s="673" t="n"/>
      <c r="W6" s="734" t="inlineStr">
        <is>
          <t>Barnes</t>
        </is>
      </c>
      <c r="X6" s="676" t="n"/>
      <c r="Y6" s="692" t="inlineStr">
        <is>
          <t xml:space="preserve">O Niel </t>
        </is>
      </c>
      <c r="Z6" s="1052" t="inlineStr">
        <is>
          <t>Papou</t>
        </is>
      </c>
      <c r="AA6" s="673" t="n"/>
      <c r="AB6" s="871" t="inlineStr">
        <is>
          <t xml:space="preserve">Alberts </t>
        </is>
      </c>
      <c r="AC6" s="673" t="n"/>
      <c r="AD6" s="591" t="n"/>
      <c r="AE6" s="676" t="n"/>
      <c r="AF6" s="673" t="n"/>
      <c r="AG6" s="1053" t="inlineStr">
        <is>
          <t>Scholtz</t>
        </is>
      </c>
      <c r="AH6" s="982" t="inlineStr">
        <is>
          <t xml:space="preserve">O Niel </t>
        </is>
      </c>
      <c r="AI6" s="1054" t="inlineStr">
        <is>
          <t>Cecily</t>
        </is>
      </c>
      <c r="AJ6" s="673" t="n"/>
      <c r="AK6" s="876" t="n"/>
      <c r="AL6" s="876" t="n"/>
      <c r="AM6" s="876" t="n"/>
      <c r="AN6" s="876" t="n"/>
    </row>
    <row r="7" ht="21" customHeight="1" s="562">
      <c r="A7" s="1034" t="n">
        <v>46084</v>
      </c>
      <c r="B7" s="1039" t="inlineStr">
        <is>
          <t>Tuesday</t>
        </is>
      </c>
      <c r="C7" s="810" t="inlineStr">
        <is>
          <t>Johnstons</t>
        </is>
      </c>
      <c r="D7" s="745" t="inlineStr">
        <is>
          <t>Theron</t>
        </is>
      </c>
      <c r="E7" s="677" t="inlineStr">
        <is>
          <t>Du Plessis</t>
        </is>
      </c>
      <c r="F7" s="676" t="n"/>
      <c r="G7" s="1047" t="inlineStr">
        <is>
          <t xml:space="preserve">Richards </t>
        </is>
      </c>
      <c r="H7" s="673" t="n"/>
      <c r="I7" s="1048" t="inlineStr">
        <is>
          <t>Klientjie</t>
        </is>
      </c>
      <c r="J7" s="1055" t="inlineStr">
        <is>
          <t>Bierman</t>
        </is>
      </c>
      <c r="K7" s="673" t="n"/>
      <c r="L7" s="591" t="n"/>
      <c r="M7" s="812" t="inlineStr">
        <is>
          <t xml:space="preserve">De Waal </t>
        </is>
      </c>
      <c r="N7" s="679" t="n"/>
      <c r="O7" s="591" t="n"/>
      <c r="P7" s="673" t="n"/>
      <c r="Q7" s="1056" t="inlineStr">
        <is>
          <t xml:space="preserve">Botes </t>
        </is>
      </c>
      <c r="R7" s="676" t="n"/>
      <c r="S7" s="1057" t="inlineStr">
        <is>
          <t>Apie</t>
        </is>
      </c>
      <c r="T7" s="673" t="n"/>
      <c r="U7" s="946" t="inlineStr">
        <is>
          <t xml:space="preserve">Alberts </t>
        </is>
      </c>
      <c r="V7" s="673" t="n"/>
      <c r="W7" s="722" t="inlineStr">
        <is>
          <t>Barnes</t>
        </is>
      </c>
      <c r="X7" s="676" t="n"/>
      <c r="Y7" s="698" t="inlineStr">
        <is>
          <t xml:space="preserve">O Niel </t>
        </is>
      </c>
      <c r="Z7" s="1058" t="inlineStr">
        <is>
          <t>Papou</t>
        </is>
      </c>
      <c r="AA7" s="673" t="n"/>
      <c r="AC7" s="673" t="n"/>
      <c r="AD7" s="591" t="n"/>
      <c r="AE7" s="676" t="n"/>
      <c r="AF7" s="673" t="n"/>
      <c r="AG7" s="591" t="n"/>
      <c r="AH7" s="982" t="inlineStr">
        <is>
          <t xml:space="preserve">O Niel </t>
        </is>
      </c>
      <c r="AI7" s="1059" t="inlineStr">
        <is>
          <t>Cecily</t>
        </is>
      </c>
      <c r="AJ7" s="673" t="n"/>
      <c r="AK7" s="876" t="n"/>
      <c r="AL7" s="876" t="n"/>
      <c r="AM7" s="876" t="n"/>
      <c r="AN7" s="876" t="n"/>
    </row>
    <row r="8" ht="21" customHeight="1" s="562">
      <c r="A8" s="1034" t="n">
        <v>46085</v>
      </c>
      <c r="B8" s="1039" t="inlineStr">
        <is>
          <t>Wednesday</t>
        </is>
      </c>
      <c r="C8" s="810" t="inlineStr">
        <is>
          <t>Johnstons</t>
        </is>
      </c>
      <c r="D8" s="717" t="n"/>
      <c r="E8" s="827" t="inlineStr">
        <is>
          <t>Du Plessis</t>
        </is>
      </c>
      <c r="F8" s="676" t="n"/>
      <c r="G8" s="1047" t="inlineStr">
        <is>
          <t xml:space="preserve">Richards </t>
        </is>
      </c>
      <c r="H8" s="746" t="n"/>
      <c r="I8" s="1048" t="inlineStr">
        <is>
          <t>Klientjie</t>
        </is>
      </c>
      <c r="J8" s="1055" t="inlineStr">
        <is>
          <t>Bierman</t>
        </is>
      </c>
      <c r="K8" s="680" t="inlineStr">
        <is>
          <t>Theron</t>
        </is>
      </c>
      <c r="L8" s="591" t="n"/>
      <c r="M8" s="812" t="inlineStr">
        <is>
          <t xml:space="preserve">De Waal </t>
        </is>
      </c>
      <c r="N8" s="679" t="n"/>
      <c r="O8" s="1060" t="inlineStr">
        <is>
          <t xml:space="preserve">Maria Burgum </t>
        </is>
      </c>
      <c r="P8" s="673" t="n"/>
      <c r="Q8" s="1056" t="inlineStr">
        <is>
          <t xml:space="preserve">Botes </t>
        </is>
      </c>
      <c r="R8" s="676" t="n"/>
      <c r="S8" s="1061" t="inlineStr">
        <is>
          <t>Apie</t>
        </is>
      </c>
      <c r="T8" s="673" t="n"/>
      <c r="U8" s="591" t="n"/>
      <c r="V8" s="673" t="n"/>
      <c r="W8" s="722" t="inlineStr">
        <is>
          <t>Barnes</t>
        </is>
      </c>
      <c r="X8" s="676" t="n"/>
      <c r="Y8" s="698" t="inlineStr">
        <is>
          <t xml:space="preserve">O Niel </t>
        </is>
      </c>
      <c r="Z8" s="1062" t="inlineStr">
        <is>
          <t>Papou</t>
        </is>
      </c>
      <c r="AA8" s="673" t="n"/>
      <c r="AB8" s="871" t="inlineStr">
        <is>
          <t xml:space="preserve">Alberts </t>
        </is>
      </c>
      <c r="AC8" s="673" t="n"/>
      <c r="AD8" s="591" t="n"/>
      <c r="AE8" s="676" t="n"/>
      <c r="AF8" s="673" t="n"/>
      <c r="AG8" s="591" t="n"/>
      <c r="AH8" s="982" t="inlineStr">
        <is>
          <t xml:space="preserve">O Niel </t>
        </is>
      </c>
      <c r="AI8" s="1059" t="inlineStr">
        <is>
          <t>Cecily</t>
        </is>
      </c>
      <c r="AJ8" s="673" t="n"/>
      <c r="AK8" s="876" t="n"/>
      <c r="AL8" s="876" t="n"/>
      <c r="AM8" s="876" t="n"/>
      <c r="AN8" s="876" t="n"/>
    </row>
    <row r="9" ht="21" customHeight="1" s="562">
      <c r="A9" s="1034" t="n">
        <v>46086</v>
      </c>
      <c r="B9" s="1039" t="inlineStr">
        <is>
          <t>Thursday</t>
        </is>
      </c>
      <c r="C9" s="810" t="inlineStr">
        <is>
          <t>Johnstons</t>
        </is>
      </c>
      <c r="D9" s="673" t="n"/>
      <c r="E9" s="827" t="inlineStr">
        <is>
          <t>Du Plessis</t>
        </is>
      </c>
      <c r="F9" s="676" t="n"/>
      <c r="G9" s="939" t="inlineStr">
        <is>
          <t xml:space="preserve">Richards </t>
        </is>
      </c>
      <c r="H9" s="1063" t="inlineStr">
        <is>
          <t>Le Roux</t>
        </is>
      </c>
      <c r="I9" s="689" t="inlineStr">
        <is>
          <t>Klientjie</t>
        </is>
      </c>
      <c r="J9" s="1055" t="inlineStr">
        <is>
          <t>Bierman</t>
        </is>
      </c>
      <c r="K9" s="694" t="inlineStr">
        <is>
          <t>Theron</t>
        </is>
      </c>
      <c r="L9" s="591" t="n"/>
      <c r="M9" s="812" t="inlineStr">
        <is>
          <t xml:space="preserve">De Waal </t>
        </is>
      </c>
      <c r="N9" s="679" t="n"/>
      <c r="O9" s="591" t="n"/>
      <c r="P9" s="673" t="n"/>
      <c r="Q9" s="1056" t="inlineStr">
        <is>
          <t xml:space="preserve">Botes </t>
        </is>
      </c>
      <c r="R9" s="676" t="n"/>
      <c r="S9" s="1061" t="inlineStr">
        <is>
          <t>Apie</t>
        </is>
      </c>
      <c r="T9" s="673" t="n"/>
      <c r="U9" s="591" t="n"/>
      <c r="V9" s="746" t="n"/>
      <c r="W9" s="722" t="inlineStr">
        <is>
          <t>Barnes</t>
        </is>
      </c>
      <c r="X9" s="676" t="n"/>
      <c r="Y9" s="982" t="inlineStr">
        <is>
          <t xml:space="preserve">O Niel </t>
        </is>
      </c>
      <c r="Z9" s="717" t="n"/>
      <c r="AA9" s="679" t="n"/>
      <c r="AC9" s="673" t="n"/>
      <c r="AD9" s="591" t="n"/>
      <c r="AE9" s="676" t="n"/>
      <c r="AF9" s="673" t="n"/>
      <c r="AG9" s="1053" t="inlineStr">
        <is>
          <t>Scholtz</t>
        </is>
      </c>
      <c r="AH9" s="982" t="inlineStr">
        <is>
          <t xml:space="preserve">O Niel </t>
        </is>
      </c>
      <c r="AI9" s="1064" t="inlineStr">
        <is>
          <t>Cecily</t>
        </is>
      </c>
      <c r="AJ9" s="1065" t="inlineStr">
        <is>
          <t>Papou</t>
        </is>
      </c>
      <c r="AK9" s="876" t="n"/>
      <c r="AL9" s="876" t="n"/>
      <c r="AM9" s="876" t="n"/>
      <c r="AN9" s="876" t="n"/>
    </row>
    <row r="10" ht="21" customHeight="1" s="562">
      <c r="A10" s="1034" t="n">
        <v>46087</v>
      </c>
      <c r="B10" s="1039" t="inlineStr">
        <is>
          <t>Friday</t>
        </is>
      </c>
      <c r="C10" s="1066" t="inlineStr">
        <is>
          <t>Johnstons</t>
        </is>
      </c>
      <c r="D10" s="673" t="n"/>
      <c r="E10" s="833" t="inlineStr">
        <is>
          <t>Du Plessis</t>
        </is>
      </c>
      <c r="F10" s="676" t="n"/>
      <c r="G10" s="947" t="inlineStr">
        <is>
          <t xml:space="preserve">Richards </t>
        </is>
      </c>
      <c r="H10" s="1067" t="inlineStr">
        <is>
          <t>Webb</t>
        </is>
      </c>
      <c r="I10" s="689" t="inlineStr">
        <is>
          <t>Klientjie</t>
        </is>
      </c>
      <c r="J10" s="1068" t="inlineStr">
        <is>
          <t>Bierman</t>
        </is>
      </c>
      <c r="K10" s="694" t="inlineStr">
        <is>
          <t>Theron</t>
        </is>
      </c>
      <c r="L10" s="591" t="n"/>
      <c r="M10" s="812" t="inlineStr">
        <is>
          <t xml:space="preserve">De Waal </t>
        </is>
      </c>
      <c r="N10" s="679" t="n"/>
      <c r="O10" s="1060" t="inlineStr">
        <is>
          <t xml:space="preserve">Maria Burgum </t>
        </is>
      </c>
      <c r="P10" s="673" t="n"/>
      <c r="Q10" s="1069" t="inlineStr">
        <is>
          <t xml:space="preserve">Botes </t>
        </is>
      </c>
      <c r="R10" s="676" t="n"/>
      <c r="S10" s="1061" t="inlineStr">
        <is>
          <t>Apie</t>
        </is>
      </c>
      <c r="T10" s="673" t="n"/>
      <c r="U10" s="679" t="n"/>
      <c r="V10" s="933" t="inlineStr">
        <is>
          <t xml:space="preserve">Richards </t>
        </is>
      </c>
      <c r="W10" s="728" t="inlineStr">
        <is>
          <t>Barnes</t>
        </is>
      </c>
      <c r="X10" s="676" t="n"/>
      <c r="Y10" s="991" t="inlineStr">
        <is>
          <t xml:space="preserve">O Niel </t>
        </is>
      </c>
      <c r="Z10" s="673" t="n"/>
      <c r="AA10" s="679" t="n"/>
      <c r="AB10" s="591" t="n"/>
      <c r="AC10" s="673" t="n"/>
      <c r="AD10" s="591" t="n"/>
      <c r="AE10" s="676" t="n"/>
      <c r="AF10" s="673" t="n"/>
      <c r="AG10" s="591" t="n"/>
      <c r="AH10" s="1070" t="inlineStr">
        <is>
          <t xml:space="preserve">O Niel </t>
        </is>
      </c>
      <c r="AI10" s="1071" t="inlineStr">
        <is>
          <t>Cecily</t>
        </is>
      </c>
      <c r="AJ10" s="1072" t="inlineStr">
        <is>
          <t>Papou</t>
        </is>
      </c>
      <c r="AK10" s="876" t="n"/>
      <c r="AL10" s="876" t="n"/>
      <c r="AM10" s="876" t="n"/>
      <c r="AN10" s="876" t="n"/>
    </row>
    <row r="11" ht="21" customHeight="1" s="562">
      <c r="A11" s="1034" t="n">
        <v>46088</v>
      </c>
      <c r="B11" s="1039" t="inlineStr">
        <is>
          <t>Saturday</t>
        </is>
      </c>
      <c r="C11" s="676" t="n"/>
      <c r="D11" s="673" t="n"/>
      <c r="E11" s="679" t="n"/>
      <c r="F11" s="676" t="n"/>
      <c r="G11" s="717" t="n"/>
      <c r="H11" s="591" t="n"/>
      <c r="I11" s="689" t="inlineStr">
        <is>
          <t>Klientjie</t>
        </is>
      </c>
      <c r="J11" s="591" t="n"/>
      <c r="K11" s="694" t="inlineStr">
        <is>
          <t>Theron</t>
        </is>
      </c>
      <c r="L11" s="1073" t="inlineStr">
        <is>
          <t>O Niel -R500</t>
        </is>
      </c>
      <c r="M11" s="812" t="inlineStr">
        <is>
          <t xml:space="preserve">De Waal </t>
        </is>
      </c>
      <c r="N11" s="679" t="n"/>
      <c r="O11" s="591" t="n"/>
      <c r="P11" s="673" t="n"/>
      <c r="Q11" s="679" t="n"/>
      <c r="R11" s="676" t="n"/>
      <c r="S11" s="1061" t="inlineStr">
        <is>
          <t>Apie</t>
        </is>
      </c>
      <c r="T11" s="673" t="n"/>
      <c r="U11" s="679" t="n"/>
      <c r="V11" s="939" t="inlineStr">
        <is>
          <t xml:space="preserve">Richards </t>
        </is>
      </c>
      <c r="W11" s="950" t="n"/>
      <c r="X11" s="795" t="n"/>
      <c r="Y11" s="676" t="n"/>
      <c r="Z11" s="673" t="n"/>
      <c r="AA11" s="679" t="n"/>
      <c r="AC11" s="673" t="n"/>
      <c r="AD11" s="591" t="n"/>
      <c r="AE11" s="676" t="n"/>
      <c r="AF11" s="673" t="n"/>
      <c r="AG11" s="998" t="inlineStr">
        <is>
          <t>O Niel -R500</t>
        </is>
      </c>
      <c r="AH11" s="717" t="n"/>
      <c r="AI11" s="873" t="n"/>
      <c r="AJ11" s="1072" t="inlineStr">
        <is>
          <t>Papou</t>
        </is>
      </c>
      <c r="AK11" s="876" t="n"/>
      <c r="AL11" s="876" t="n"/>
      <c r="AM11" s="876" t="n"/>
      <c r="AN11" s="876" t="n"/>
    </row>
    <row r="12" ht="21" customHeight="1" s="562">
      <c r="A12" s="1034" t="n">
        <v>46089</v>
      </c>
      <c r="B12" s="1039" t="inlineStr">
        <is>
          <t>Sunday</t>
        </is>
      </c>
      <c r="C12" s="676" t="n"/>
      <c r="D12" s="673" t="n"/>
      <c r="E12" s="679" t="n"/>
      <c r="F12" s="676" t="n"/>
      <c r="G12" s="673" t="n"/>
      <c r="H12" s="1074" t="inlineStr">
        <is>
          <t>Carli - R500</t>
        </is>
      </c>
      <c r="I12" s="1048" t="inlineStr">
        <is>
          <t>Klientjie</t>
        </is>
      </c>
      <c r="J12" s="591" t="n"/>
      <c r="K12" s="694" t="inlineStr">
        <is>
          <t>Theron</t>
        </is>
      </c>
      <c r="L12" s="1075" t="inlineStr">
        <is>
          <t>O Niel -R500</t>
        </is>
      </c>
      <c r="M12" s="812" t="inlineStr">
        <is>
          <t xml:space="preserve">De Waal </t>
        </is>
      </c>
      <c r="N12" s="679" t="n"/>
      <c r="O12" s="591" t="n"/>
      <c r="P12" s="673" t="n"/>
      <c r="Q12" s="679" t="n"/>
      <c r="R12" s="676" t="n"/>
      <c r="S12" s="1046" t="inlineStr">
        <is>
          <t>Apie</t>
        </is>
      </c>
      <c r="T12" s="673" t="n"/>
      <c r="U12" s="840" t="n"/>
      <c r="V12" s="939" t="inlineStr">
        <is>
          <t xml:space="preserve">Richards </t>
        </is>
      </c>
      <c r="W12" s="950" t="n"/>
      <c r="X12" s="795" t="n"/>
      <c r="Y12" s="676" t="n"/>
      <c r="Z12" s="673" t="n"/>
      <c r="AA12" s="679" t="n"/>
      <c r="AB12" s="1076" t="inlineStr">
        <is>
          <t>Carli - R500</t>
        </is>
      </c>
      <c r="AC12" s="673" t="n"/>
      <c r="AD12" s="591" t="n"/>
      <c r="AE12" s="676" t="n"/>
      <c r="AF12" s="673" t="n"/>
      <c r="AG12" s="991" t="inlineStr">
        <is>
          <t>O Niel -R500</t>
        </is>
      </c>
      <c r="AH12" s="673" t="n"/>
      <c r="AI12" s="591" t="n"/>
      <c r="AJ12" s="1072" t="inlineStr">
        <is>
          <t>Papou</t>
        </is>
      </c>
      <c r="AK12" s="876" t="n"/>
      <c r="AL12" s="876" t="n"/>
      <c r="AM12" s="876" t="n"/>
      <c r="AN12" s="876" t="n"/>
    </row>
    <row r="13" ht="21" customHeight="1" s="562">
      <c r="A13" s="1034" t="n">
        <v>46090</v>
      </c>
      <c r="B13" s="1039" t="inlineStr">
        <is>
          <t>Monday</t>
        </is>
      </c>
      <c r="C13" s="710" t="inlineStr">
        <is>
          <t>Johnstons</t>
        </is>
      </c>
      <c r="D13" s="673" t="n"/>
      <c r="E13" s="836" t="inlineStr">
        <is>
          <t>Du Plessis</t>
        </is>
      </c>
      <c r="F13" s="1057" t="inlineStr">
        <is>
          <t>Apie</t>
        </is>
      </c>
      <c r="G13" s="673" t="n"/>
      <c r="H13" s="1077" t="inlineStr">
        <is>
          <t>Carli - R500</t>
        </is>
      </c>
      <c r="I13" s="1048" t="inlineStr">
        <is>
          <t>Klientjie</t>
        </is>
      </c>
      <c r="J13" s="1078" t="inlineStr">
        <is>
          <t>Bierman</t>
        </is>
      </c>
      <c r="K13" s="1079" t="inlineStr">
        <is>
          <t>Theron</t>
        </is>
      </c>
      <c r="L13" s="591" t="n"/>
      <c r="M13" s="891" t="inlineStr">
        <is>
          <t xml:space="preserve">De Waal </t>
        </is>
      </c>
      <c r="N13" s="679" t="n"/>
      <c r="O13" s="1060" t="inlineStr">
        <is>
          <t xml:space="preserve">Maria Burgum </t>
        </is>
      </c>
      <c r="P13" s="673" t="n"/>
      <c r="Q13" s="1080" t="inlineStr">
        <is>
          <t xml:space="preserve">Botes </t>
        </is>
      </c>
      <c r="R13" s="676" t="n"/>
      <c r="S13" s="676" t="n"/>
      <c r="T13" s="673" t="n"/>
      <c r="U13" s="826" t="inlineStr">
        <is>
          <t>Ras</t>
        </is>
      </c>
      <c r="V13" s="939" t="inlineStr">
        <is>
          <t xml:space="preserve">Richards </t>
        </is>
      </c>
      <c r="W13" s="734" t="inlineStr">
        <is>
          <t>Barnes</t>
        </is>
      </c>
      <c r="X13" s="673" t="n"/>
      <c r="Y13" s="998" t="inlineStr">
        <is>
          <t xml:space="preserve">O Niel </t>
        </is>
      </c>
      <c r="Z13" s="673" t="n"/>
      <c r="AA13" s="679" t="n"/>
      <c r="AB13" s="1081" t="inlineStr">
        <is>
          <t>Carli - R500</t>
        </is>
      </c>
      <c r="AC13" s="673" t="n"/>
      <c r="AD13" s="692" t="inlineStr">
        <is>
          <t xml:space="preserve">O Niel </t>
        </is>
      </c>
      <c r="AE13" s="676" t="n"/>
      <c r="AF13" s="673" t="n"/>
      <c r="AG13" s="1053" t="inlineStr">
        <is>
          <t>Scholtz</t>
        </is>
      </c>
      <c r="AH13" s="673" t="n"/>
      <c r="AI13" s="1082" t="inlineStr">
        <is>
          <t>Cecily</t>
        </is>
      </c>
      <c r="AJ13" s="1083" t="inlineStr">
        <is>
          <t>Papou</t>
        </is>
      </c>
      <c r="AK13" s="876" t="n"/>
      <c r="AL13" s="876" t="n"/>
      <c r="AM13" s="876" t="n"/>
      <c r="AN13" s="876" t="n"/>
    </row>
    <row r="14" ht="21" customHeight="1" s="562">
      <c r="A14" s="1034" t="n">
        <v>46091</v>
      </c>
      <c r="B14" s="1039" t="inlineStr">
        <is>
          <t>Tuesday</t>
        </is>
      </c>
      <c r="C14" s="810" t="inlineStr">
        <is>
          <t>Johnstons</t>
        </is>
      </c>
      <c r="D14" s="673" t="n"/>
      <c r="E14" s="838" t="inlineStr">
        <is>
          <t>Du Plessis</t>
        </is>
      </c>
      <c r="F14" s="1061" t="inlineStr">
        <is>
          <t>Apie</t>
        </is>
      </c>
      <c r="G14" s="673" t="n"/>
      <c r="H14" s="1077" t="inlineStr">
        <is>
          <t>Carli - R1000</t>
        </is>
      </c>
      <c r="I14" s="1048" t="inlineStr">
        <is>
          <t>Klientjie</t>
        </is>
      </c>
      <c r="J14" s="1055" t="inlineStr">
        <is>
          <t>Bierman</t>
        </is>
      </c>
      <c r="K14" s="1079" t="inlineStr">
        <is>
          <t>Theron</t>
        </is>
      </c>
      <c r="L14" s="679" t="n"/>
      <c r="M14" s="591" t="n"/>
      <c r="N14" s="673" t="n"/>
      <c r="O14" s="591" t="n"/>
      <c r="P14" s="673" t="n"/>
      <c r="Q14" s="1056" t="inlineStr">
        <is>
          <t xml:space="preserve">Botes </t>
        </is>
      </c>
      <c r="R14" s="676" t="n"/>
      <c r="S14" s="676" t="n"/>
      <c r="T14" s="673" t="n"/>
      <c r="U14" s="827" t="inlineStr">
        <is>
          <t>Ras</t>
        </is>
      </c>
      <c r="V14" s="947" t="inlineStr">
        <is>
          <t xml:space="preserve">Richards </t>
        </is>
      </c>
      <c r="W14" s="722" t="inlineStr">
        <is>
          <t>Barnes</t>
        </is>
      </c>
      <c r="X14" s="673" t="n"/>
      <c r="Y14" s="982" t="inlineStr">
        <is>
          <t xml:space="preserve">O Niel </t>
        </is>
      </c>
      <c r="Z14" s="1065" t="inlineStr">
        <is>
          <t>Papou</t>
        </is>
      </c>
      <c r="AA14" s="591" t="n"/>
      <c r="AB14" s="717" t="n"/>
      <c r="AC14" s="679" t="n"/>
      <c r="AD14" s="698" t="inlineStr">
        <is>
          <t xml:space="preserve">O Niel </t>
        </is>
      </c>
      <c r="AE14" s="676" t="n"/>
      <c r="AF14" s="673" t="n"/>
      <c r="AG14" s="591" t="n"/>
      <c r="AH14" s="673" t="n"/>
      <c r="AI14" s="1084" t="inlineStr">
        <is>
          <t>Cecily</t>
        </is>
      </c>
      <c r="AJ14" s="673" t="n"/>
      <c r="AK14" s="808" t="inlineStr">
        <is>
          <t xml:space="preserve">De Waal </t>
        </is>
      </c>
      <c r="AL14" s="876" t="n"/>
      <c r="AM14" s="876" t="n"/>
      <c r="AN14" s="876" t="n"/>
    </row>
    <row r="15" ht="21" customHeight="1" s="562">
      <c r="A15" s="1034" t="n">
        <v>46092</v>
      </c>
      <c r="B15" s="1039" t="inlineStr">
        <is>
          <t>Wednesday</t>
        </is>
      </c>
      <c r="C15" s="810" t="inlineStr">
        <is>
          <t>Johnstons</t>
        </is>
      </c>
      <c r="D15" s="673" t="n"/>
      <c r="E15" s="838" t="inlineStr">
        <is>
          <t>Du Plessis</t>
        </is>
      </c>
      <c r="F15" s="1061" t="inlineStr">
        <is>
          <t>Apie</t>
        </is>
      </c>
      <c r="G15" s="673" t="n"/>
      <c r="H15" s="1085" t="inlineStr">
        <is>
          <t>Carli - R500</t>
        </is>
      </c>
      <c r="I15" s="1086" t="inlineStr">
        <is>
          <t>Klientjie</t>
        </is>
      </c>
      <c r="J15" s="1055" t="inlineStr">
        <is>
          <t>Bierman</t>
        </is>
      </c>
      <c r="K15" s="717" t="n"/>
      <c r="L15" s="840" t="n"/>
      <c r="M15" s="591" t="n"/>
      <c r="N15" s="673" t="n"/>
      <c r="O15" s="1060" t="inlineStr">
        <is>
          <t xml:space="preserve">Maria Burgum </t>
        </is>
      </c>
      <c r="P15" s="673" t="n"/>
      <c r="Q15" s="1056" t="inlineStr">
        <is>
          <t xml:space="preserve">Botes </t>
        </is>
      </c>
      <c r="R15" s="676" t="n"/>
      <c r="S15" s="676" t="n"/>
      <c r="T15" s="673" t="n"/>
      <c r="U15" s="838" t="inlineStr">
        <is>
          <t>Ras</t>
        </is>
      </c>
      <c r="V15" s="717" t="n"/>
      <c r="W15" s="722" t="inlineStr">
        <is>
          <t>Barnes</t>
        </is>
      </c>
      <c r="X15" s="673" t="n"/>
      <c r="Y15" s="982" t="inlineStr">
        <is>
          <t xml:space="preserve">O Niel </t>
        </is>
      </c>
      <c r="Z15" s="1072" t="inlineStr">
        <is>
          <t>Papou</t>
        </is>
      </c>
      <c r="AA15" s="591" t="n"/>
      <c r="AB15" s="673" t="n"/>
      <c r="AC15" s="679" t="n"/>
      <c r="AD15" s="698" t="inlineStr">
        <is>
          <t xml:space="preserve">O Niel </t>
        </is>
      </c>
      <c r="AE15" s="676" t="n"/>
      <c r="AF15" s="680" t="inlineStr">
        <is>
          <t>Theron</t>
        </is>
      </c>
      <c r="AG15" s="591" t="n"/>
      <c r="AH15" s="673" t="n"/>
      <c r="AI15" s="1084" t="inlineStr">
        <is>
          <t>Cecily</t>
        </is>
      </c>
      <c r="AJ15" s="673" t="n"/>
      <c r="AK15" s="1087" t="inlineStr">
        <is>
          <t xml:space="preserve">De Waal </t>
        </is>
      </c>
      <c r="AL15" s="1088" t="inlineStr">
        <is>
          <t>Carli - R500</t>
        </is>
      </c>
      <c r="AM15" s="876" t="n"/>
      <c r="AN15" s="876" t="n"/>
    </row>
    <row r="16" ht="21" customHeight="1" s="562">
      <c r="A16" s="1034" t="n">
        <v>46093</v>
      </c>
      <c r="B16" s="1039" t="inlineStr">
        <is>
          <t>Thursday</t>
        </is>
      </c>
      <c r="C16" s="810" t="inlineStr">
        <is>
          <t>Johnstons</t>
        </is>
      </c>
      <c r="D16" s="673" t="n"/>
      <c r="E16" s="838" t="inlineStr">
        <is>
          <t>Du Plessis</t>
        </is>
      </c>
      <c r="F16" s="1061" t="inlineStr">
        <is>
          <t>Apie</t>
        </is>
      </c>
      <c r="G16" s="673" t="n"/>
      <c r="H16" s="1089" t="inlineStr">
        <is>
          <t>Le Roux</t>
        </is>
      </c>
      <c r="I16" s="673" t="n"/>
      <c r="J16" s="1090" t="inlineStr">
        <is>
          <t>Bierman</t>
        </is>
      </c>
      <c r="K16" s="673" t="n"/>
      <c r="L16" s="1091" t="inlineStr">
        <is>
          <t>Klientjie</t>
        </is>
      </c>
      <c r="M16" s="676" t="n"/>
      <c r="N16" s="673" t="n"/>
      <c r="O16" s="591" t="n"/>
      <c r="P16" s="673" t="n"/>
      <c r="Q16" s="1056" t="inlineStr">
        <is>
          <t xml:space="preserve">Botes </t>
        </is>
      </c>
      <c r="R16" s="676" t="n"/>
      <c r="S16" s="676" t="n"/>
      <c r="T16" s="673" t="n"/>
      <c r="U16" s="838" t="inlineStr">
        <is>
          <t>Ras</t>
        </is>
      </c>
      <c r="V16" s="673" t="n"/>
      <c r="W16" s="722" t="inlineStr">
        <is>
          <t>Barnes</t>
        </is>
      </c>
      <c r="X16" s="673" t="n"/>
      <c r="Y16" s="982" t="inlineStr">
        <is>
          <t xml:space="preserve">O Niel </t>
        </is>
      </c>
      <c r="Z16" s="1072" t="inlineStr">
        <is>
          <t>Papou</t>
        </is>
      </c>
      <c r="AA16" s="591" t="n"/>
      <c r="AB16" s="673" t="n"/>
      <c r="AC16" s="679" t="n"/>
      <c r="AD16" s="1092" t="inlineStr">
        <is>
          <t xml:space="preserve">O Niel </t>
        </is>
      </c>
      <c r="AE16" s="676" t="n"/>
      <c r="AF16" s="694" t="inlineStr">
        <is>
          <t>Theron</t>
        </is>
      </c>
      <c r="AG16" s="1053" t="inlineStr">
        <is>
          <t>Scholtz/ Carli</t>
        </is>
      </c>
      <c r="AH16" s="673" t="n"/>
      <c r="AI16" s="725" t="n"/>
      <c r="AJ16" s="673" t="n"/>
      <c r="AK16" s="1087" t="inlineStr">
        <is>
          <t xml:space="preserve">De Waal </t>
        </is>
      </c>
      <c r="AL16" s="1093" t="inlineStr">
        <is>
          <t>Carli - R500</t>
        </is>
      </c>
      <c r="AM16" s="876" t="n"/>
      <c r="AN16" s="876" t="n"/>
    </row>
    <row r="17" ht="21" customHeight="1" s="562">
      <c r="A17" s="1034" t="n">
        <v>46094</v>
      </c>
      <c r="B17" s="1039" t="inlineStr">
        <is>
          <t>Friday</t>
        </is>
      </c>
      <c r="C17" s="1066" t="inlineStr">
        <is>
          <t>Johnstons</t>
        </is>
      </c>
      <c r="D17" s="673" t="n"/>
      <c r="E17" s="841" t="inlineStr">
        <is>
          <t>Du Plessis</t>
        </is>
      </c>
      <c r="F17" s="1061" t="inlineStr">
        <is>
          <t>Apie</t>
        </is>
      </c>
      <c r="G17" s="673" t="n"/>
      <c r="H17" s="974" t="inlineStr">
        <is>
          <t>Webb</t>
        </is>
      </c>
      <c r="I17" s="673" t="n"/>
      <c r="J17" s="1094" t="inlineStr">
        <is>
          <t>Bierman</t>
        </is>
      </c>
      <c r="K17" s="673" t="n"/>
      <c r="L17" s="1048" t="inlineStr">
        <is>
          <t>Klientjie</t>
        </is>
      </c>
      <c r="M17" s="676" t="n"/>
      <c r="N17" s="673" t="n"/>
      <c r="O17" s="1060" t="inlineStr">
        <is>
          <t xml:space="preserve">Maria Burgum </t>
        </is>
      </c>
      <c r="P17" s="673" t="n"/>
      <c r="Q17" s="1069" t="inlineStr">
        <is>
          <t xml:space="preserve">Botes </t>
        </is>
      </c>
      <c r="R17" s="676" t="n"/>
      <c r="S17" s="676" t="n"/>
      <c r="T17" s="673" t="n"/>
      <c r="U17" s="838" t="inlineStr">
        <is>
          <t>Ras</t>
        </is>
      </c>
      <c r="V17" s="673" t="n"/>
      <c r="W17" s="728" t="inlineStr">
        <is>
          <t>Barnes</t>
        </is>
      </c>
      <c r="X17" s="673" t="n"/>
      <c r="Y17" s="991" t="inlineStr">
        <is>
          <t xml:space="preserve">O Niel </t>
        </is>
      </c>
      <c r="Z17" s="1072" t="inlineStr">
        <is>
          <t>Papou</t>
        </is>
      </c>
      <c r="AA17" s="591" t="n"/>
      <c r="AB17" s="692" t="inlineStr">
        <is>
          <t xml:space="preserve">O Niel </t>
        </is>
      </c>
      <c r="AC17" s="591" t="n"/>
      <c r="AD17" s="717" t="n"/>
      <c r="AE17" s="591" t="n"/>
      <c r="AF17" s="694" t="inlineStr">
        <is>
          <t>Theron</t>
        </is>
      </c>
      <c r="AG17" s="1095" t="inlineStr">
        <is>
          <t>Carli - R500</t>
        </is>
      </c>
      <c r="AH17" s="673" t="n"/>
      <c r="AI17" s="1096" t="inlineStr">
        <is>
          <t>Cecily</t>
        </is>
      </c>
      <c r="AJ17" s="673" t="n"/>
      <c r="AK17" s="1087" t="inlineStr">
        <is>
          <t xml:space="preserve">De Waal </t>
        </is>
      </c>
      <c r="AL17" s="1093" t="inlineStr">
        <is>
          <t>Carli - R500</t>
        </is>
      </c>
      <c r="AM17" s="876" t="n"/>
      <c r="AN17" s="876" t="n"/>
    </row>
    <row r="18" ht="21" customHeight="1" s="562">
      <c r="A18" s="1034" t="n">
        <v>46095</v>
      </c>
      <c r="B18" s="1039" t="inlineStr">
        <is>
          <t>Saturday</t>
        </is>
      </c>
      <c r="C18" s="676" t="n"/>
      <c r="D18" s="673" t="n"/>
      <c r="E18" s="591" t="n"/>
      <c r="F18" s="1061" t="inlineStr">
        <is>
          <t>Apie</t>
        </is>
      </c>
      <c r="G18" s="933" t="inlineStr">
        <is>
          <t xml:space="preserve">Richards </t>
        </is>
      </c>
      <c r="H18" s="679" t="n"/>
      <c r="I18" s="673" t="n"/>
      <c r="J18" s="676" t="n"/>
      <c r="K18" s="673" t="n"/>
      <c r="L18" s="1048" t="inlineStr">
        <is>
          <t>Klientjie</t>
        </is>
      </c>
      <c r="M18" s="676" t="n"/>
      <c r="N18" s="673" t="n"/>
      <c r="O18" s="591" t="n"/>
      <c r="P18" s="673" t="n"/>
      <c r="Q18" s="679" t="n"/>
      <c r="R18" s="676" t="n"/>
      <c r="S18" s="676" t="n"/>
      <c r="T18" s="673" t="n"/>
      <c r="U18" s="838" t="inlineStr">
        <is>
          <t>Ras</t>
        </is>
      </c>
      <c r="V18" s="673" t="n"/>
      <c r="W18" s="950" t="n"/>
      <c r="X18" s="795" t="n"/>
      <c r="Y18" s="676" t="n"/>
      <c r="Z18" s="1072" t="inlineStr">
        <is>
          <t>Papou</t>
        </is>
      </c>
      <c r="AA18" s="591" t="n"/>
      <c r="AB18" s="698" t="inlineStr">
        <is>
          <t xml:space="preserve">O Niel </t>
        </is>
      </c>
      <c r="AC18" s="591" t="n"/>
      <c r="AD18" s="673" t="n"/>
      <c r="AE18" s="591" t="n"/>
      <c r="AF18" s="694" t="inlineStr">
        <is>
          <t>Theron</t>
        </is>
      </c>
      <c r="AG18" s="1095" t="inlineStr">
        <is>
          <t>Carli - R500</t>
        </is>
      </c>
      <c r="AH18" s="673" t="n"/>
      <c r="AI18" s="679" t="n"/>
      <c r="AJ18" s="673" t="n"/>
      <c r="AK18" s="1087" t="inlineStr">
        <is>
          <t xml:space="preserve">De Waal </t>
        </is>
      </c>
      <c r="AL18" s="1093" t="inlineStr">
        <is>
          <t>Carli - R500</t>
        </is>
      </c>
      <c r="AM18" s="941" t="inlineStr">
        <is>
          <t xml:space="preserve">O Niel </t>
        </is>
      </c>
      <c r="AN18" s="876" t="n"/>
    </row>
    <row r="19" ht="21" customHeight="1" s="562">
      <c r="A19" s="1034" t="n">
        <v>46096</v>
      </c>
      <c r="B19" s="1039" t="inlineStr">
        <is>
          <t>Sunday</t>
        </is>
      </c>
      <c r="C19" s="676" t="n"/>
      <c r="D19" s="673" t="n"/>
      <c r="E19" s="591" t="n"/>
      <c r="F19" s="1046" t="inlineStr">
        <is>
          <t>Apie</t>
        </is>
      </c>
      <c r="G19" s="939" t="inlineStr">
        <is>
          <t xml:space="preserve">Richards </t>
        </is>
      </c>
      <c r="H19" s="1085" t="inlineStr">
        <is>
          <t>Carli - R500</t>
        </is>
      </c>
      <c r="I19" s="673" t="n"/>
      <c r="J19" s="676" t="n"/>
      <c r="K19" s="673" t="n"/>
      <c r="L19" s="1086" t="inlineStr">
        <is>
          <t>Klientjie</t>
        </is>
      </c>
      <c r="M19" s="682" t="inlineStr">
        <is>
          <t>Ingham</t>
        </is>
      </c>
      <c r="N19" s="673" t="n"/>
      <c r="O19" s="591" t="n"/>
      <c r="P19" s="673" t="n"/>
      <c r="Q19" s="679" t="n"/>
      <c r="R19" s="676" t="n"/>
      <c r="S19" s="676" t="n"/>
      <c r="T19" s="673" t="n"/>
      <c r="U19" s="977" t="inlineStr">
        <is>
          <t>Ras</t>
        </is>
      </c>
      <c r="V19" s="673" t="n"/>
      <c r="W19" s="950" t="n"/>
      <c r="X19" s="795" t="n"/>
      <c r="Y19" s="1097" t="inlineStr">
        <is>
          <t xml:space="preserve">O Niel </t>
        </is>
      </c>
      <c r="Z19" s="1083" t="inlineStr">
        <is>
          <t>Papou</t>
        </is>
      </c>
      <c r="AA19" s="591" t="n"/>
      <c r="AB19" s="698" t="inlineStr">
        <is>
          <t xml:space="preserve">O Niel </t>
        </is>
      </c>
      <c r="AC19" s="591" t="n"/>
      <c r="AD19" s="673" t="n"/>
      <c r="AE19" s="591" t="n"/>
      <c r="AF19" s="694" t="inlineStr">
        <is>
          <t>Theron</t>
        </is>
      </c>
      <c r="AG19" s="591" t="n"/>
      <c r="AH19" s="673" t="n"/>
      <c r="AI19" s="679" t="n"/>
      <c r="AJ19" s="673" t="n"/>
      <c r="AK19" s="1087" t="inlineStr">
        <is>
          <t xml:space="preserve">De Waal </t>
        </is>
      </c>
      <c r="AL19" s="1098" t="inlineStr">
        <is>
          <t>Carli - R500</t>
        </is>
      </c>
      <c r="AM19" s="876" t="n"/>
      <c r="AN19" s="876" t="n"/>
    </row>
    <row r="20" ht="21" customHeight="1" s="562">
      <c r="A20" s="1034" t="n">
        <v>46097</v>
      </c>
      <c r="B20" s="1039" t="inlineStr">
        <is>
          <t>Monday</t>
        </is>
      </c>
      <c r="C20" s="710" t="inlineStr">
        <is>
          <t>Johnstons</t>
        </is>
      </c>
      <c r="D20" s="673" t="n"/>
      <c r="E20" s="826" t="inlineStr">
        <is>
          <t>Du Plessis</t>
        </is>
      </c>
      <c r="F20" s="676" t="n"/>
      <c r="G20" s="939" t="inlineStr">
        <is>
          <t xml:space="preserve">Richards </t>
        </is>
      </c>
      <c r="H20" s="1085" t="inlineStr">
        <is>
          <t>Carli - R500</t>
        </is>
      </c>
      <c r="I20" s="681" t="inlineStr">
        <is>
          <t>Klientjie</t>
        </is>
      </c>
      <c r="J20" s="1099" t="inlineStr">
        <is>
          <t>Bierman</t>
        </is>
      </c>
      <c r="K20" s="673" t="n"/>
      <c r="L20" s="679" t="n"/>
      <c r="M20" s="676" t="n"/>
      <c r="N20" s="673" t="n"/>
      <c r="O20" s="1060" t="inlineStr">
        <is>
          <t xml:space="preserve">Maria Burgum </t>
        </is>
      </c>
      <c r="P20" s="673" t="n"/>
      <c r="Q20" s="1080" t="inlineStr">
        <is>
          <t xml:space="preserve">Botes </t>
        </is>
      </c>
      <c r="R20" s="676" t="n"/>
      <c r="S20" s="1057" t="inlineStr">
        <is>
          <t>Apie</t>
        </is>
      </c>
      <c r="T20" s="673" t="n"/>
      <c r="U20" s="717" t="n"/>
      <c r="V20" s="693" t="inlineStr">
        <is>
          <t>Ingham</t>
        </is>
      </c>
      <c r="W20" s="734" t="inlineStr">
        <is>
          <t>Barnes</t>
        </is>
      </c>
      <c r="X20" s="673" t="n"/>
      <c r="Y20" s="676" t="n"/>
      <c r="Z20" s="673" t="n"/>
      <c r="AA20" s="591" t="n"/>
      <c r="AB20" s="698" t="inlineStr">
        <is>
          <t xml:space="preserve">O Niel </t>
        </is>
      </c>
      <c r="AC20" s="591" t="n"/>
      <c r="AD20" s="673" t="n"/>
      <c r="AE20" s="591" t="n"/>
      <c r="AF20" s="1079" t="inlineStr">
        <is>
          <t>Theron</t>
        </is>
      </c>
      <c r="AG20" s="1053" t="inlineStr">
        <is>
          <t>Scholtz</t>
        </is>
      </c>
      <c r="AH20" s="673" t="n"/>
      <c r="AI20" s="1100" t="inlineStr">
        <is>
          <t>Cecily</t>
        </is>
      </c>
      <c r="AJ20" s="1065" t="inlineStr">
        <is>
          <t>Papou</t>
        </is>
      </c>
      <c r="AK20" s="1101" t="inlineStr">
        <is>
          <t xml:space="preserve">De Waal </t>
        </is>
      </c>
      <c r="AL20" s="876" t="n"/>
      <c r="AM20" s="692" t="inlineStr">
        <is>
          <t xml:space="preserve">O Niel </t>
        </is>
      </c>
      <c r="AN20" s="876" t="n"/>
    </row>
    <row r="21" ht="21" customHeight="1" s="562">
      <c r="A21" s="1034" t="n">
        <v>46098</v>
      </c>
      <c r="B21" s="1039" t="inlineStr">
        <is>
          <t>Tuesday</t>
        </is>
      </c>
      <c r="C21" s="810" t="inlineStr">
        <is>
          <t>Johnstons</t>
        </is>
      </c>
      <c r="D21" s="673" t="n"/>
      <c r="E21" s="827" t="inlineStr">
        <is>
          <t>Du Plessis</t>
        </is>
      </c>
      <c r="F21" s="676" t="n"/>
      <c r="G21" s="939" t="inlineStr">
        <is>
          <t xml:space="preserve">Richards </t>
        </is>
      </c>
      <c r="H21" s="679" t="n"/>
      <c r="I21" s="689" t="inlineStr">
        <is>
          <t>Klientjie</t>
        </is>
      </c>
      <c r="J21" s="1090" t="inlineStr">
        <is>
          <t>Bierman</t>
        </is>
      </c>
      <c r="K21" s="673" t="n"/>
      <c r="L21" s="591" t="n"/>
      <c r="M21" s="808" t="inlineStr">
        <is>
          <t xml:space="preserve">De Waal </t>
        </is>
      </c>
      <c r="N21" s="679" t="n"/>
      <c r="O21" s="591" t="n"/>
      <c r="P21" s="673" t="n"/>
      <c r="Q21" s="1056" t="inlineStr">
        <is>
          <t xml:space="preserve">Botes </t>
        </is>
      </c>
      <c r="R21" s="676" t="n"/>
      <c r="S21" s="1061" t="inlineStr">
        <is>
          <t>Apie</t>
        </is>
      </c>
      <c r="T21" s="676" t="n"/>
      <c r="U21" s="693" t="inlineStr">
        <is>
          <t>Ingham</t>
        </is>
      </c>
      <c r="V21" s="699" t="inlineStr">
        <is>
          <t>Ingham</t>
        </is>
      </c>
      <c r="W21" s="722" t="inlineStr">
        <is>
          <t>Barnes</t>
        </is>
      </c>
      <c r="X21" s="673" t="n"/>
      <c r="Y21" s="676" t="n"/>
      <c r="Z21" s="673" t="n"/>
      <c r="AA21" s="591" t="n"/>
      <c r="AB21" s="698" t="inlineStr">
        <is>
          <t xml:space="preserve">O Niel </t>
        </is>
      </c>
      <c r="AC21" s="591" t="n"/>
      <c r="AD21" s="673" t="n"/>
      <c r="AE21" s="591" t="n"/>
      <c r="AF21" s="1079" t="inlineStr">
        <is>
          <t>Theron</t>
        </is>
      </c>
      <c r="AG21" s="591" t="n"/>
      <c r="AH21" s="673" t="n"/>
      <c r="AI21" s="1084" t="inlineStr">
        <is>
          <t>Cecily</t>
        </is>
      </c>
      <c r="AJ21" s="1102" t="inlineStr">
        <is>
          <t>Papou</t>
        </is>
      </c>
      <c r="AK21" s="924" t="n"/>
      <c r="AL21" s="950" t="n"/>
      <c r="AM21" s="698" t="inlineStr">
        <is>
          <t xml:space="preserve">O Niel </t>
        </is>
      </c>
      <c r="AN21" s="876" t="n"/>
    </row>
    <row r="22" ht="21" customHeight="1" s="562">
      <c r="A22" s="1034" t="n">
        <v>46099</v>
      </c>
      <c r="B22" s="1039" t="inlineStr">
        <is>
          <t>Wednesday</t>
        </is>
      </c>
      <c r="C22" s="810" t="inlineStr">
        <is>
          <t>Johnstons</t>
        </is>
      </c>
      <c r="D22" s="673" t="n"/>
      <c r="E22" s="827" t="inlineStr">
        <is>
          <t>Du Plessis</t>
        </is>
      </c>
      <c r="F22" s="676" t="n"/>
      <c r="G22" s="939" t="inlineStr">
        <is>
          <t xml:space="preserve">Richards </t>
        </is>
      </c>
      <c r="H22" s="679" t="n"/>
      <c r="I22" s="689" t="inlineStr">
        <is>
          <t>Klientjie</t>
        </is>
      </c>
      <c r="J22" s="1090" t="inlineStr">
        <is>
          <t>Bierman</t>
        </is>
      </c>
      <c r="K22" s="680" t="inlineStr">
        <is>
          <t>Theron</t>
        </is>
      </c>
      <c r="L22" s="591" t="n"/>
      <c r="M22" s="812" t="inlineStr">
        <is>
          <t xml:space="preserve">De Waal </t>
        </is>
      </c>
      <c r="N22" s="679" t="n"/>
      <c r="O22" s="1060" t="inlineStr">
        <is>
          <t xml:space="preserve">Maria Burgum </t>
        </is>
      </c>
      <c r="P22" s="673" t="n"/>
      <c r="Q22" s="1056" t="inlineStr">
        <is>
          <t xml:space="preserve">Botes </t>
        </is>
      </c>
      <c r="R22" s="676" t="n"/>
      <c r="S22" s="1046" t="inlineStr">
        <is>
          <t>Apie</t>
        </is>
      </c>
      <c r="T22" s="676" t="n"/>
      <c r="U22" s="699" t="inlineStr">
        <is>
          <t>Ingham</t>
        </is>
      </c>
      <c r="V22" s="699" t="inlineStr">
        <is>
          <t>Ingham</t>
        </is>
      </c>
      <c r="W22" s="722" t="inlineStr">
        <is>
          <t>Barnes</t>
        </is>
      </c>
      <c r="X22" s="673" t="n"/>
      <c r="Y22" s="676" t="n"/>
      <c r="Z22" s="673" t="n"/>
      <c r="AA22" s="591" t="n"/>
      <c r="AB22" s="698" t="inlineStr">
        <is>
          <t xml:space="preserve">O Niel </t>
        </is>
      </c>
      <c r="AC22" s="591" t="n"/>
      <c r="AD22" s="673" t="n"/>
      <c r="AE22" s="591" t="n"/>
      <c r="AF22" s="717" t="n"/>
      <c r="AG22" s="591" t="n"/>
      <c r="AH22" s="673" t="n"/>
      <c r="AI22" s="1084" t="inlineStr">
        <is>
          <t>Cecily</t>
        </is>
      </c>
      <c r="AJ22" s="1102" t="inlineStr">
        <is>
          <t>Papou</t>
        </is>
      </c>
      <c r="AK22" s="876" t="n"/>
      <c r="AL22" s="950" t="n"/>
      <c r="AM22" s="698" t="inlineStr">
        <is>
          <t xml:space="preserve">O Niel </t>
        </is>
      </c>
      <c r="AN22" s="876" t="n"/>
    </row>
    <row r="23" ht="21" customHeight="1" s="562">
      <c r="A23" s="1034" t="n">
        <v>46100</v>
      </c>
      <c r="B23" s="1039" t="inlineStr">
        <is>
          <t>Thursday</t>
        </is>
      </c>
      <c r="C23" s="810" t="inlineStr">
        <is>
          <t>Johnstons</t>
        </is>
      </c>
      <c r="D23" s="673" t="n"/>
      <c r="E23" s="827" t="inlineStr">
        <is>
          <t>Du Plessis</t>
        </is>
      </c>
      <c r="F23" s="1057" t="inlineStr">
        <is>
          <t>Apie</t>
        </is>
      </c>
      <c r="G23" s="939" t="inlineStr">
        <is>
          <t xml:space="preserve">Richards </t>
        </is>
      </c>
      <c r="H23" s="1103" t="inlineStr">
        <is>
          <t>Le Roux</t>
        </is>
      </c>
      <c r="I23" s="689" t="inlineStr">
        <is>
          <t>Klientjie</t>
        </is>
      </c>
      <c r="J23" s="1090" t="inlineStr">
        <is>
          <t>Bierman</t>
        </is>
      </c>
      <c r="K23" s="694" t="inlineStr">
        <is>
          <t>Theron</t>
        </is>
      </c>
      <c r="L23" s="591" t="n"/>
      <c r="M23" s="812" t="inlineStr">
        <is>
          <t xml:space="preserve">De Waal </t>
        </is>
      </c>
      <c r="N23" s="679" t="n"/>
      <c r="O23" s="591" t="n"/>
      <c r="P23" s="673" t="n"/>
      <c r="Q23" s="1056" t="inlineStr">
        <is>
          <t xml:space="preserve">Botes </t>
        </is>
      </c>
      <c r="R23" s="676" t="n"/>
      <c r="S23" s="676" t="n"/>
      <c r="T23" s="676" t="n"/>
      <c r="U23" s="699" t="inlineStr">
        <is>
          <t>Ingham</t>
        </is>
      </c>
      <c r="V23" s="712" t="inlineStr">
        <is>
          <t>Ingham</t>
        </is>
      </c>
      <c r="W23" s="722" t="inlineStr">
        <is>
          <t>Barnes</t>
        </is>
      </c>
      <c r="X23" s="673" t="n"/>
      <c r="Y23" s="676" t="n"/>
      <c r="Z23" s="673" t="n"/>
      <c r="AA23" s="591" t="n"/>
      <c r="AB23" s="698" t="inlineStr">
        <is>
          <t xml:space="preserve">O Niel </t>
        </is>
      </c>
      <c r="AC23" s="591" t="n"/>
      <c r="AD23" s="673" t="n"/>
      <c r="AE23" s="591" t="n"/>
      <c r="AF23" s="673" t="n"/>
      <c r="AG23" s="1053" t="inlineStr">
        <is>
          <t>Scholtz</t>
        </is>
      </c>
      <c r="AH23" s="673" t="n"/>
      <c r="AI23" s="1084" t="inlineStr">
        <is>
          <t>Cecily</t>
        </is>
      </c>
      <c r="AJ23" s="1104" t="inlineStr">
        <is>
          <t>Papou</t>
        </is>
      </c>
      <c r="AK23" s="876" t="n"/>
      <c r="AL23" s="950" t="n"/>
      <c r="AM23" s="698" t="inlineStr">
        <is>
          <t xml:space="preserve">O Niel </t>
        </is>
      </c>
      <c r="AN23" s="876" t="n"/>
    </row>
    <row r="24" ht="21" customHeight="1" s="562">
      <c r="A24" s="1034" t="n">
        <v>46101</v>
      </c>
      <c r="B24" s="1039" t="inlineStr">
        <is>
          <t>Friday</t>
        </is>
      </c>
      <c r="C24" s="1066" t="inlineStr">
        <is>
          <t>Johnstons</t>
        </is>
      </c>
      <c r="D24" s="673" t="n"/>
      <c r="E24" s="833" t="inlineStr">
        <is>
          <t>Du Plessis</t>
        </is>
      </c>
      <c r="F24" s="1061" t="inlineStr">
        <is>
          <t>Apie</t>
        </is>
      </c>
      <c r="G24" s="939" t="inlineStr">
        <is>
          <t xml:space="preserve">Richards </t>
        </is>
      </c>
      <c r="H24" s="974" t="inlineStr">
        <is>
          <t>Webb</t>
        </is>
      </c>
      <c r="I24" s="689" t="inlineStr">
        <is>
          <t>Klientjie</t>
        </is>
      </c>
      <c r="J24" s="1094" t="inlineStr">
        <is>
          <t>Bierman</t>
        </is>
      </c>
      <c r="K24" s="694" t="inlineStr">
        <is>
          <t>Theron</t>
        </is>
      </c>
      <c r="L24" s="591" t="n"/>
      <c r="M24" s="812" t="inlineStr">
        <is>
          <t xml:space="preserve">De Waal </t>
        </is>
      </c>
      <c r="N24" s="679" t="n"/>
      <c r="O24" s="1060" t="inlineStr">
        <is>
          <t xml:space="preserve">Maria Burgum </t>
        </is>
      </c>
      <c r="P24" s="673" t="n"/>
      <c r="Q24" s="1069" t="inlineStr">
        <is>
          <t xml:space="preserve">Botes </t>
        </is>
      </c>
      <c r="R24" s="676" t="n"/>
      <c r="S24" s="676" t="n"/>
      <c r="T24" s="676" t="n"/>
      <c r="U24" s="712" t="inlineStr">
        <is>
          <t>Ingham</t>
        </is>
      </c>
      <c r="V24" s="679" t="n"/>
      <c r="W24" s="728" t="inlineStr">
        <is>
          <t>Barnes</t>
        </is>
      </c>
      <c r="X24" s="673" t="n"/>
      <c r="Y24" s="676" t="n"/>
      <c r="Z24" s="1065" t="inlineStr">
        <is>
          <t>Papou</t>
        </is>
      </c>
      <c r="AA24" s="591" t="n"/>
      <c r="AB24" s="698" t="inlineStr">
        <is>
          <t xml:space="preserve">O Niel </t>
        </is>
      </c>
      <c r="AC24" s="591" t="n"/>
      <c r="AD24" s="673" t="n"/>
      <c r="AE24" s="591" t="n"/>
      <c r="AF24" s="673" t="n"/>
      <c r="AG24" s="591" t="n"/>
      <c r="AH24" s="673" t="n"/>
      <c r="AI24" s="1096" t="inlineStr">
        <is>
          <t>Cecily</t>
        </is>
      </c>
      <c r="AJ24" s="676" t="n"/>
      <c r="AK24" s="876" t="n"/>
      <c r="AL24" s="950" t="n"/>
      <c r="AM24" s="1092" t="inlineStr">
        <is>
          <t xml:space="preserve">O Niel </t>
        </is>
      </c>
      <c r="AN24" s="876" t="n"/>
    </row>
    <row r="25" ht="19.5" customHeight="1" s="562">
      <c r="A25" s="1034" t="n">
        <v>46102</v>
      </c>
      <c r="B25" s="1039" t="inlineStr">
        <is>
          <t>Saturday</t>
        </is>
      </c>
      <c r="C25" s="676" t="n"/>
      <c r="D25" s="673" t="n"/>
      <c r="E25" s="679" t="n"/>
      <c r="F25" s="1061" t="inlineStr">
        <is>
          <t>Apie</t>
        </is>
      </c>
      <c r="G25" s="939" t="inlineStr">
        <is>
          <t xml:space="preserve">Richards </t>
        </is>
      </c>
      <c r="H25" s="679" t="n"/>
      <c r="I25" s="689" t="inlineStr">
        <is>
          <t>Klientjie</t>
        </is>
      </c>
      <c r="J25" s="676" t="n"/>
      <c r="K25" s="694" t="inlineStr">
        <is>
          <t>Theron</t>
        </is>
      </c>
      <c r="L25" s="591" t="n"/>
      <c r="M25" s="812" t="inlineStr">
        <is>
          <t xml:space="preserve">De Waal </t>
        </is>
      </c>
      <c r="N25" s="679" t="n"/>
      <c r="O25" s="591" t="n"/>
      <c r="P25" s="673" t="n"/>
      <c r="Q25" s="679" t="n"/>
      <c r="R25" s="676" t="n"/>
      <c r="S25" s="676" t="n"/>
      <c r="T25" s="673" t="n"/>
      <c r="U25" s="591" t="n"/>
      <c r="V25" s="673" t="n"/>
      <c r="W25" s="950" t="n"/>
      <c r="X25" s="789" t="n"/>
      <c r="Y25" s="692" t="inlineStr">
        <is>
          <t xml:space="preserve">O Niel </t>
        </is>
      </c>
      <c r="Z25" s="1105" t="inlineStr">
        <is>
          <t>Papou</t>
        </is>
      </c>
      <c r="AA25" s="591" t="n"/>
      <c r="AB25" s="698" t="inlineStr">
        <is>
          <t xml:space="preserve">O Niel </t>
        </is>
      </c>
      <c r="AC25" s="591" t="n"/>
      <c r="AD25" s="673" t="n"/>
      <c r="AE25" s="591" t="n"/>
      <c r="AF25" s="673" t="n"/>
      <c r="AG25" s="591" t="n"/>
      <c r="AH25" s="673" t="n"/>
      <c r="AI25" s="679" t="n"/>
      <c r="AJ25" s="676" t="n"/>
      <c r="AK25" s="876" t="n"/>
      <c r="AM25" s="924" t="n"/>
      <c r="AN25" s="950" t="n"/>
    </row>
    <row r="26" ht="21" customHeight="1" s="562">
      <c r="A26" s="1034" t="n">
        <v>46103</v>
      </c>
      <c r="B26" s="1039" t="inlineStr">
        <is>
          <t>Sunday</t>
        </is>
      </c>
      <c r="C26" s="676" t="n"/>
      <c r="D26" s="673" t="n"/>
      <c r="E26" s="679" t="n"/>
      <c r="F26" s="1061" t="inlineStr">
        <is>
          <t>Apie</t>
        </is>
      </c>
      <c r="G26" s="1106" t="inlineStr">
        <is>
          <t xml:space="preserve">Richards </t>
        </is>
      </c>
      <c r="H26" s="679" t="n"/>
      <c r="I26" s="689" t="inlineStr">
        <is>
          <t>Klientjie</t>
        </is>
      </c>
      <c r="J26" s="676" t="n"/>
      <c r="K26" s="694" t="inlineStr">
        <is>
          <t>Theron</t>
        </is>
      </c>
      <c r="L26" s="591" t="n"/>
      <c r="M26" s="812" t="inlineStr">
        <is>
          <t xml:space="preserve">De Waal </t>
        </is>
      </c>
      <c r="N26" s="679" t="n"/>
      <c r="O26" s="591" t="n"/>
      <c r="P26" s="673" t="n"/>
      <c r="Q26" s="679" t="n"/>
      <c r="R26" s="676" t="n"/>
      <c r="S26" s="676" t="n"/>
      <c r="T26" s="673" t="n"/>
      <c r="U26" s="591" t="n"/>
      <c r="V26" s="673" t="n"/>
      <c r="W26" s="950" t="n"/>
      <c r="X26" s="789" t="n"/>
      <c r="Y26" s="698" t="inlineStr">
        <is>
          <t xml:space="preserve">O Niel </t>
        </is>
      </c>
      <c r="Z26" s="1105" t="inlineStr">
        <is>
          <t>Papou</t>
        </is>
      </c>
      <c r="AA26" s="591" t="n"/>
      <c r="AB26" s="698" t="inlineStr">
        <is>
          <t xml:space="preserve">O Niel </t>
        </is>
      </c>
      <c r="AC26" s="591" t="n"/>
      <c r="AD26" s="673" t="n"/>
      <c r="AE26" s="591" t="n"/>
      <c r="AF26" s="673" t="n"/>
      <c r="AG26" s="591" t="n"/>
      <c r="AH26" s="673" t="n"/>
      <c r="AI26" s="679" t="n"/>
      <c r="AJ26" s="676" t="n"/>
      <c r="AK26" s="876" t="n"/>
      <c r="AM26" s="876" t="n"/>
      <c r="AN26" s="950" t="n"/>
    </row>
    <row r="27" ht="21" customHeight="1" s="562">
      <c r="A27" s="1034" t="n">
        <v>46104</v>
      </c>
      <c r="B27" s="1039" t="inlineStr">
        <is>
          <t>Monday</t>
        </is>
      </c>
      <c r="C27" s="710" t="inlineStr">
        <is>
          <t>Johnstons</t>
        </is>
      </c>
      <c r="D27" s="673" t="n"/>
      <c r="E27" s="826" t="inlineStr">
        <is>
          <t>Du Plessis</t>
        </is>
      </c>
      <c r="F27" s="1061" t="inlineStr">
        <is>
          <t>Apie</t>
        </is>
      </c>
      <c r="G27" s="673" t="n"/>
      <c r="H27" s="679" t="n"/>
      <c r="I27" s="689" t="inlineStr">
        <is>
          <t>Klientjie</t>
        </is>
      </c>
      <c r="J27" s="1099" t="inlineStr">
        <is>
          <t>Bierman</t>
        </is>
      </c>
      <c r="K27" s="694" t="inlineStr">
        <is>
          <t>Theron</t>
        </is>
      </c>
      <c r="L27" s="591" t="n"/>
      <c r="M27" s="812" t="inlineStr">
        <is>
          <t xml:space="preserve">De Waal </t>
        </is>
      </c>
      <c r="N27" s="679" t="n"/>
      <c r="O27" s="1060" t="inlineStr">
        <is>
          <t xml:space="preserve">Maria Burgum </t>
        </is>
      </c>
      <c r="P27" s="673" t="n"/>
      <c r="Q27" s="1080" t="inlineStr">
        <is>
          <t xml:space="preserve">Botes </t>
        </is>
      </c>
      <c r="R27" s="676" t="n"/>
      <c r="S27" s="676" t="n"/>
      <c r="T27" s="673" t="n"/>
      <c r="U27" s="836" t="inlineStr">
        <is>
          <t>Ras</t>
        </is>
      </c>
      <c r="V27" s="673" t="n"/>
      <c r="W27" s="734" t="inlineStr">
        <is>
          <t>Barnes</t>
        </is>
      </c>
      <c r="X27" s="676" t="n"/>
      <c r="Y27" s="698" t="inlineStr">
        <is>
          <t xml:space="preserve">O Niel </t>
        </is>
      </c>
      <c r="Z27" s="1105" t="inlineStr">
        <is>
          <t>Papou</t>
        </is>
      </c>
      <c r="AA27" s="591" t="n"/>
      <c r="AB27" s="698" t="inlineStr">
        <is>
          <t xml:space="preserve">O Niel </t>
        </is>
      </c>
      <c r="AC27" s="591" t="n"/>
      <c r="AD27" s="673" t="n"/>
      <c r="AE27" s="591" t="n"/>
      <c r="AF27" s="673" t="n"/>
      <c r="AG27" s="1053" t="inlineStr">
        <is>
          <t>Scholtz</t>
        </is>
      </c>
      <c r="AH27" s="673" t="n"/>
      <c r="AI27" s="1100" t="inlineStr">
        <is>
          <t>Cecily</t>
        </is>
      </c>
      <c r="AJ27" s="676" t="n"/>
      <c r="AK27" s="876" t="n"/>
      <c r="AM27" s="876" t="n"/>
      <c r="AN27" s="1107" t="inlineStr">
        <is>
          <t xml:space="preserve">Richards </t>
        </is>
      </c>
    </row>
    <row r="28" ht="21" customHeight="1" s="562">
      <c r="A28" s="1034" t="n">
        <v>46105</v>
      </c>
      <c r="B28" s="1039" t="inlineStr">
        <is>
          <t>Tuesday</t>
        </is>
      </c>
      <c r="C28" s="810" t="inlineStr">
        <is>
          <t>Johnstons</t>
        </is>
      </c>
      <c r="D28" s="673" t="n"/>
      <c r="E28" s="827" t="inlineStr">
        <is>
          <t>Du Plessis</t>
        </is>
      </c>
      <c r="F28" s="1046" t="inlineStr">
        <is>
          <t>Apie</t>
        </is>
      </c>
      <c r="G28" s="673" t="n"/>
      <c r="H28" s="679" t="n"/>
      <c r="I28" s="689" t="inlineStr">
        <is>
          <t>Klientjie</t>
        </is>
      </c>
      <c r="J28" s="1090" t="inlineStr">
        <is>
          <t>Bierman</t>
        </is>
      </c>
      <c r="K28" s="694" t="inlineStr">
        <is>
          <t>Theron</t>
        </is>
      </c>
      <c r="L28" s="591" t="n"/>
      <c r="M28" s="812" t="inlineStr">
        <is>
          <t xml:space="preserve">De Waal </t>
        </is>
      </c>
      <c r="N28" s="679" t="n"/>
      <c r="O28" s="591" t="n"/>
      <c r="P28" s="673" t="n"/>
      <c r="Q28" s="1056" t="inlineStr">
        <is>
          <t xml:space="preserve">Botes </t>
        </is>
      </c>
      <c r="R28" s="676" t="n"/>
      <c r="S28" s="676" t="n"/>
      <c r="T28" s="673" t="n"/>
      <c r="U28" s="838" t="inlineStr">
        <is>
          <t>Ras</t>
        </is>
      </c>
      <c r="V28" s="673" t="n"/>
      <c r="W28" s="722" t="inlineStr">
        <is>
          <t>Barnes</t>
        </is>
      </c>
      <c r="X28" s="676" t="n"/>
      <c r="Y28" s="698" t="inlineStr">
        <is>
          <t xml:space="preserve">O Niel </t>
        </is>
      </c>
      <c r="Z28" s="1108" t="inlineStr">
        <is>
          <t>Papou</t>
        </is>
      </c>
      <c r="AA28" s="591" t="n"/>
      <c r="AB28" s="698" t="inlineStr">
        <is>
          <t xml:space="preserve">O Niel </t>
        </is>
      </c>
      <c r="AC28" s="591" t="n"/>
      <c r="AD28" s="673" t="n"/>
      <c r="AE28" s="591" t="n"/>
      <c r="AF28" s="673" t="n"/>
      <c r="AG28" s="591" t="n"/>
      <c r="AH28" s="673" t="n"/>
      <c r="AI28" s="1084" t="inlineStr">
        <is>
          <t>Cecily</t>
        </is>
      </c>
      <c r="AJ28" s="676" t="n"/>
      <c r="AK28" s="673" t="n"/>
      <c r="AM28" s="673" t="n"/>
      <c r="AN28" s="1109" t="inlineStr">
        <is>
          <t xml:space="preserve">Richards </t>
        </is>
      </c>
    </row>
    <row r="29" ht="21" customHeight="1" s="562">
      <c r="A29" s="1034" t="n">
        <v>46106</v>
      </c>
      <c r="B29" s="1039" t="inlineStr">
        <is>
          <t>Wednesday</t>
        </is>
      </c>
      <c r="C29" s="810" t="inlineStr">
        <is>
          <t>Johnstons</t>
        </is>
      </c>
      <c r="D29" s="673" t="n"/>
      <c r="E29" s="827" t="inlineStr">
        <is>
          <t>Du Plessis</t>
        </is>
      </c>
      <c r="F29" s="676" t="n"/>
      <c r="G29" s="673" t="n"/>
      <c r="H29" s="1110" t="n"/>
      <c r="I29" s="689" t="inlineStr">
        <is>
          <t>Klientjie</t>
        </is>
      </c>
      <c r="J29" s="1090" t="inlineStr">
        <is>
          <t>Bierman</t>
        </is>
      </c>
      <c r="K29" s="694" t="inlineStr">
        <is>
          <t>Theron</t>
        </is>
      </c>
      <c r="L29" s="591" t="n"/>
      <c r="M29" s="812" t="inlineStr">
        <is>
          <t xml:space="preserve">De Waal </t>
        </is>
      </c>
      <c r="N29" s="679" t="n"/>
      <c r="O29" s="1060" t="inlineStr">
        <is>
          <t xml:space="preserve">Maria Burgum </t>
        </is>
      </c>
      <c r="P29" s="673" t="n"/>
      <c r="Q29" s="1056" t="inlineStr">
        <is>
          <t xml:space="preserve">Botes </t>
        </is>
      </c>
      <c r="R29" s="676" t="n"/>
      <c r="S29" s="1057" t="inlineStr">
        <is>
          <t>Apie</t>
        </is>
      </c>
      <c r="T29" s="673" t="n"/>
      <c r="U29" s="838" t="inlineStr">
        <is>
          <t>Ras</t>
        </is>
      </c>
      <c r="V29" s="673" t="n"/>
      <c r="W29" s="722" t="inlineStr">
        <is>
          <t>Barnes</t>
        </is>
      </c>
      <c r="X29" s="676" t="n"/>
      <c r="Y29" s="698" t="inlineStr">
        <is>
          <t xml:space="preserve">O Niel </t>
        </is>
      </c>
      <c r="Z29" s="679" t="n"/>
      <c r="AA29" s="591" t="n"/>
      <c r="AB29" s="698" t="inlineStr">
        <is>
          <t xml:space="preserve">O Niel </t>
        </is>
      </c>
      <c r="AC29" s="591" t="n"/>
      <c r="AD29" s="673" t="n"/>
      <c r="AE29" s="591" t="n"/>
      <c r="AF29" s="673" t="n"/>
      <c r="AG29" s="591" t="n"/>
      <c r="AH29" s="673" t="n"/>
      <c r="AI29" s="1084" t="inlineStr">
        <is>
          <t>Cecily</t>
        </is>
      </c>
      <c r="AJ29" s="1111" t="inlineStr">
        <is>
          <t>Papou</t>
        </is>
      </c>
      <c r="AK29" s="673" t="n"/>
      <c r="AM29" s="673" t="n"/>
      <c r="AN29" s="1109" t="inlineStr">
        <is>
          <t xml:space="preserve">Richards </t>
        </is>
      </c>
    </row>
    <row r="30" ht="21" customHeight="1" s="562">
      <c r="A30" s="1034" t="n">
        <v>46107</v>
      </c>
      <c r="B30" s="1039" t="inlineStr">
        <is>
          <t>Thursday</t>
        </is>
      </c>
      <c r="C30" s="810" t="inlineStr">
        <is>
          <t>Johnstons</t>
        </is>
      </c>
      <c r="D30" s="673" t="n"/>
      <c r="E30" s="827" t="inlineStr">
        <is>
          <t>Du Plessis</t>
        </is>
      </c>
      <c r="F30" s="1112" t="inlineStr">
        <is>
          <t xml:space="preserve">Anne Marie </t>
        </is>
      </c>
      <c r="G30" s="673" t="n"/>
      <c r="H30" s="1103" t="inlineStr">
        <is>
          <t>Le Roux</t>
        </is>
      </c>
      <c r="I30" s="689" t="inlineStr">
        <is>
          <t>Klientjie</t>
        </is>
      </c>
      <c r="J30" s="1090" t="inlineStr">
        <is>
          <t>Bierman</t>
        </is>
      </c>
      <c r="K30" s="683" t="inlineStr">
        <is>
          <t>Theron</t>
        </is>
      </c>
      <c r="L30" s="591" t="n"/>
      <c r="M30" s="1101" t="inlineStr">
        <is>
          <t xml:space="preserve">De Waal </t>
        </is>
      </c>
      <c r="N30" s="679" t="n"/>
      <c r="O30" s="591" t="n"/>
      <c r="P30" s="673" t="n"/>
      <c r="Q30" s="1056" t="inlineStr">
        <is>
          <t xml:space="preserve">Botes </t>
        </is>
      </c>
      <c r="R30" s="676" t="n"/>
      <c r="S30" s="1061" t="inlineStr">
        <is>
          <t xml:space="preserve">Apie/ Anne- Marie </t>
        </is>
      </c>
      <c r="T30" s="673" t="n"/>
      <c r="U30" s="838" t="inlineStr">
        <is>
          <t>Ras</t>
        </is>
      </c>
      <c r="V30" s="673" t="n"/>
      <c r="W30" s="722" t="inlineStr">
        <is>
          <t>Barnes</t>
        </is>
      </c>
      <c r="X30" s="676" t="n"/>
      <c r="Y30" s="698" t="inlineStr">
        <is>
          <t xml:space="preserve">O Niel </t>
        </is>
      </c>
      <c r="Z30" s="679" t="n"/>
      <c r="AA30" s="591" t="n"/>
      <c r="AB30" s="698" t="inlineStr">
        <is>
          <t xml:space="preserve">O Niel </t>
        </is>
      </c>
      <c r="AC30" s="591" t="n"/>
      <c r="AD30" s="673" t="n"/>
      <c r="AE30" s="591" t="n"/>
      <c r="AF30" s="673" t="n"/>
      <c r="AG30" s="1053" t="inlineStr">
        <is>
          <t>Scholtz</t>
        </is>
      </c>
      <c r="AH30" s="673" t="n"/>
      <c r="AI30" s="1084" t="inlineStr">
        <is>
          <t>Cecily</t>
        </is>
      </c>
      <c r="AJ30" s="1102" t="inlineStr">
        <is>
          <t>Papou</t>
        </is>
      </c>
      <c r="AK30" s="673" t="n"/>
      <c r="AM30" s="673" t="n"/>
      <c r="AN30" s="1109" t="inlineStr">
        <is>
          <t xml:space="preserve">Richards </t>
        </is>
      </c>
    </row>
    <row r="31" ht="21" customHeight="1" s="562">
      <c r="A31" s="1034" t="n">
        <v>46108</v>
      </c>
      <c r="B31" s="1039" t="inlineStr">
        <is>
          <t>Friday</t>
        </is>
      </c>
      <c r="C31" s="1066" t="inlineStr">
        <is>
          <t>Johnstons</t>
        </is>
      </c>
      <c r="D31" s="673" t="n"/>
      <c r="E31" s="833" t="inlineStr">
        <is>
          <t>Du Plessis</t>
        </is>
      </c>
      <c r="F31" s="676" t="n"/>
      <c r="G31" s="673" t="n"/>
      <c r="H31" s="974" t="inlineStr">
        <is>
          <t>Webb</t>
        </is>
      </c>
      <c r="I31" s="689" t="inlineStr">
        <is>
          <t>Klientjie</t>
        </is>
      </c>
      <c r="J31" s="1094" t="inlineStr">
        <is>
          <t>Bierman</t>
        </is>
      </c>
      <c r="K31" s="673" t="n"/>
      <c r="L31" s="591" t="n"/>
      <c r="M31" s="717" t="n"/>
      <c r="N31" s="679" t="n"/>
      <c r="O31" s="1060" t="inlineStr">
        <is>
          <t xml:space="preserve">Maria Burgum </t>
        </is>
      </c>
      <c r="P31" s="673" t="n"/>
      <c r="Q31" s="1069" t="inlineStr">
        <is>
          <t xml:space="preserve">Botes </t>
        </is>
      </c>
      <c r="R31" s="676" t="n"/>
      <c r="S31" s="1061" t="inlineStr">
        <is>
          <t>Apie</t>
        </is>
      </c>
      <c r="T31" s="673" t="n"/>
      <c r="U31" s="838" t="inlineStr">
        <is>
          <t>Ras</t>
        </is>
      </c>
      <c r="V31" s="673" t="n"/>
      <c r="W31" s="728" t="inlineStr">
        <is>
          <t>Barnes</t>
        </is>
      </c>
      <c r="X31" s="676" t="n"/>
      <c r="Y31" s="698" t="inlineStr">
        <is>
          <t xml:space="preserve">O Niel </t>
        </is>
      </c>
      <c r="Z31" s="679" t="n"/>
      <c r="AA31" s="591" t="n"/>
      <c r="AB31" s="711" t="inlineStr">
        <is>
          <t xml:space="preserve">O Niel </t>
        </is>
      </c>
      <c r="AC31" s="591" t="n"/>
      <c r="AD31" s="673" t="n"/>
      <c r="AE31" s="591" t="n"/>
      <c r="AF31" s="673" t="n"/>
      <c r="AG31" s="591" t="n"/>
      <c r="AH31" s="673" t="n"/>
      <c r="AI31" s="1096" t="inlineStr">
        <is>
          <t>Cecily</t>
        </is>
      </c>
      <c r="AJ31" s="1102" t="inlineStr">
        <is>
          <t>Papou</t>
        </is>
      </c>
      <c r="AK31" s="808" t="inlineStr">
        <is>
          <t xml:space="preserve">De Waal </t>
        </is>
      </c>
      <c r="AM31" s="673" t="n"/>
      <c r="AN31" s="1109" t="inlineStr">
        <is>
          <t xml:space="preserve">Richards </t>
        </is>
      </c>
    </row>
    <row r="32" ht="21" customHeight="1" s="562">
      <c r="A32" s="1034" t="n">
        <v>46109</v>
      </c>
      <c r="B32" s="1039" t="inlineStr">
        <is>
          <t>Saturday</t>
        </is>
      </c>
      <c r="C32" s="676" t="n"/>
      <c r="D32" s="673" t="n"/>
      <c r="E32" s="679" t="n"/>
      <c r="F32" s="1112" t="inlineStr">
        <is>
          <t xml:space="preserve">Anne Marie </t>
        </is>
      </c>
      <c r="G32" s="673" t="n"/>
      <c r="H32" s="679" t="n"/>
      <c r="I32" s="689" t="inlineStr">
        <is>
          <t>Klientjie</t>
        </is>
      </c>
      <c r="J32" s="676" t="n"/>
      <c r="K32" s="673" t="n"/>
      <c r="L32" s="591" t="n"/>
      <c r="M32" s="673" t="n"/>
      <c r="N32" s="679" t="n"/>
      <c r="O32" s="591" t="n"/>
      <c r="P32" s="673" t="n"/>
      <c r="Q32" s="679" t="n"/>
      <c r="R32" s="676" t="n"/>
      <c r="S32" s="1061" t="inlineStr">
        <is>
          <t>Apie</t>
        </is>
      </c>
      <c r="T32" s="673" t="n"/>
      <c r="U32" s="838" t="inlineStr">
        <is>
          <t>Ras</t>
        </is>
      </c>
      <c r="V32" s="698" t="inlineStr">
        <is>
          <t xml:space="preserve">O Niel </t>
        </is>
      </c>
      <c r="W32" s="679" t="n"/>
      <c r="X32" s="789" t="n"/>
      <c r="Y32" s="698" t="inlineStr">
        <is>
          <t xml:space="preserve">O Niel </t>
        </is>
      </c>
      <c r="Z32" s="679" t="n"/>
      <c r="AA32" s="591" t="n"/>
      <c r="AB32" s="876" t="n"/>
      <c r="AC32" s="591" t="n"/>
      <c r="AD32" s="673" t="n"/>
      <c r="AE32" s="591" t="n"/>
      <c r="AF32" s="673" t="n"/>
      <c r="AG32" s="591" t="n"/>
      <c r="AH32" s="673" t="n"/>
      <c r="AI32" s="679" t="n"/>
      <c r="AJ32" s="1102" t="inlineStr">
        <is>
          <t>Papou</t>
        </is>
      </c>
      <c r="AK32" s="812" t="inlineStr">
        <is>
          <t xml:space="preserve">De Waal </t>
        </is>
      </c>
      <c r="AM32" s="673" t="n"/>
      <c r="AN32" s="1109" t="inlineStr">
        <is>
          <t xml:space="preserve">Richards </t>
        </is>
      </c>
    </row>
    <row r="33" ht="21" customHeight="1" s="562">
      <c r="A33" s="1034" t="n">
        <v>46110</v>
      </c>
      <c r="B33" s="1039" t="inlineStr">
        <is>
          <t>Sunday</t>
        </is>
      </c>
      <c r="C33" s="676" t="n"/>
      <c r="D33" s="673" t="n"/>
      <c r="E33" s="679" t="n"/>
      <c r="F33" s="1112" t="inlineStr">
        <is>
          <t xml:space="preserve">Anne Marie </t>
        </is>
      </c>
      <c r="G33" s="673" t="n"/>
      <c r="H33" s="679" t="n"/>
      <c r="I33" s="689" t="inlineStr">
        <is>
          <t>Klientjie</t>
        </is>
      </c>
      <c r="J33" s="676" t="n"/>
      <c r="K33" s="673" t="n"/>
      <c r="L33" s="591" t="n"/>
      <c r="M33" s="673" t="n"/>
      <c r="N33" s="679" t="n"/>
      <c r="O33" s="591" t="n"/>
      <c r="P33" s="673" t="n"/>
      <c r="Q33" s="679" t="n"/>
      <c r="R33" s="676" t="n"/>
      <c r="S33" s="1061" t="inlineStr">
        <is>
          <t>Apie</t>
        </is>
      </c>
      <c r="T33" s="673" t="n"/>
      <c r="U33" s="841" t="inlineStr">
        <is>
          <t>Ras</t>
        </is>
      </c>
      <c r="V33" s="698" t="inlineStr">
        <is>
          <t xml:space="preserve">O Niel </t>
        </is>
      </c>
      <c r="W33" s="679" t="n"/>
      <c r="X33" s="789" t="n"/>
      <c r="Y33" s="711" t="inlineStr">
        <is>
          <t xml:space="preserve">O Niel </t>
        </is>
      </c>
      <c r="Z33" s="679" t="n"/>
      <c r="AA33" s="591" t="n"/>
      <c r="AB33" s="876" t="n"/>
      <c r="AC33" s="591" t="n"/>
      <c r="AD33" s="673" t="n"/>
      <c r="AE33" s="591" t="n"/>
      <c r="AF33" s="673" t="n"/>
      <c r="AG33" s="591" t="n"/>
      <c r="AH33" s="673" t="n"/>
      <c r="AI33" s="679" t="n"/>
      <c r="AJ33" s="1104" t="inlineStr">
        <is>
          <t>Papou</t>
        </is>
      </c>
      <c r="AK33" s="812" t="inlineStr">
        <is>
          <t xml:space="preserve">De Waal </t>
        </is>
      </c>
      <c r="AM33" s="673" t="n"/>
      <c r="AN33" s="1113" t="inlineStr">
        <is>
          <t xml:space="preserve">Richards </t>
        </is>
      </c>
    </row>
    <row r="34" ht="21" customHeight="1" s="562">
      <c r="A34" s="1034" t="n">
        <v>46111</v>
      </c>
      <c r="B34" s="1039" t="inlineStr">
        <is>
          <t>Monday</t>
        </is>
      </c>
      <c r="C34" s="710" t="inlineStr">
        <is>
          <t>Johnstons</t>
        </is>
      </c>
      <c r="D34" s="673" t="n"/>
      <c r="E34" s="826" t="inlineStr">
        <is>
          <t>Du Plessis</t>
        </is>
      </c>
      <c r="F34" s="1112" t="inlineStr">
        <is>
          <t xml:space="preserve">Anne Marie </t>
        </is>
      </c>
      <c r="G34" s="933" t="inlineStr">
        <is>
          <t xml:space="preserve">Richards </t>
        </is>
      </c>
      <c r="H34" s="679" t="n"/>
      <c r="I34" s="689" t="inlineStr">
        <is>
          <t>Klientjie</t>
        </is>
      </c>
      <c r="J34" s="1099" t="inlineStr">
        <is>
          <t>Bierman</t>
        </is>
      </c>
      <c r="K34" s="673" t="n"/>
      <c r="L34" s="591" t="n"/>
      <c r="M34" s="673" t="n"/>
      <c r="N34" s="679" t="n"/>
      <c r="O34" s="1060" t="inlineStr">
        <is>
          <t xml:space="preserve">Maria Burgum </t>
        </is>
      </c>
      <c r="P34" s="673" t="n"/>
      <c r="Q34" s="1080" t="inlineStr">
        <is>
          <t xml:space="preserve">Botes </t>
        </is>
      </c>
      <c r="R34" s="676" t="n"/>
      <c r="S34" s="1046" t="inlineStr">
        <is>
          <t>Apie</t>
        </is>
      </c>
      <c r="T34" s="673" t="n"/>
      <c r="U34" s="591" t="n"/>
      <c r="V34" s="698" t="inlineStr">
        <is>
          <t xml:space="preserve">O Niel </t>
        </is>
      </c>
      <c r="W34" s="734" t="inlineStr">
        <is>
          <t>Barnes</t>
        </is>
      </c>
      <c r="X34" s="795" t="n"/>
      <c r="Y34" s="676" t="n"/>
      <c r="Z34" s="1065" t="inlineStr">
        <is>
          <t>Papou</t>
        </is>
      </c>
      <c r="AA34" s="591" t="n"/>
      <c r="AB34" s="692" t="inlineStr">
        <is>
          <t xml:space="preserve">O Niel </t>
        </is>
      </c>
      <c r="AC34" s="591" t="n"/>
      <c r="AD34" s="673" t="n"/>
      <c r="AE34" s="591" t="n"/>
      <c r="AF34" s="673" t="n"/>
      <c r="AG34" s="1053" t="inlineStr">
        <is>
          <t>Scholtz</t>
        </is>
      </c>
      <c r="AH34" s="673" t="n"/>
      <c r="AI34" s="1100" t="inlineStr">
        <is>
          <t>Cecily</t>
        </is>
      </c>
      <c r="AJ34" s="676" t="n"/>
      <c r="AK34" s="812" t="inlineStr">
        <is>
          <t xml:space="preserve">De Waal </t>
        </is>
      </c>
      <c r="AM34" s="673" t="n"/>
      <c r="AN34" s="950" t="n"/>
    </row>
    <row r="35" ht="21" customHeight="1" s="562">
      <c r="A35" s="1034" t="n">
        <v>46112</v>
      </c>
      <c r="B35" s="1114" t="inlineStr">
        <is>
          <t>Tuesday</t>
        </is>
      </c>
      <c r="C35" s="1066" t="inlineStr">
        <is>
          <t>Johnstons</t>
        </is>
      </c>
      <c r="D35" s="746" t="n"/>
      <c r="E35" s="833" t="inlineStr">
        <is>
          <t>Du Plessis</t>
        </is>
      </c>
      <c r="F35" s="1067" t="inlineStr">
        <is>
          <t>Apie/ Anne- Marie</t>
        </is>
      </c>
      <c r="G35" s="1106" t="inlineStr">
        <is>
          <t xml:space="preserve">Richards </t>
        </is>
      </c>
      <c r="H35" s="840" t="n"/>
      <c r="I35" s="1115" t="inlineStr">
        <is>
          <t>Klientjie</t>
        </is>
      </c>
      <c r="J35" s="1094" t="inlineStr">
        <is>
          <t>Bierman</t>
        </is>
      </c>
      <c r="K35" s="746" t="n"/>
      <c r="L35" s="837" t="n"/>
      <c r="M35" s="746" t="n"/>
      <c r="N35" s="840" t="n"/>
      <c r="O35" s="837" t="n"/>
      <c r="P35" s="746" t="n"/>
      <c r="Q35" s="1069" t="inlineStr">
        <is>
          <t xml:space="preserve">Botes </t>
        </is>
      </c>
      <c r="R35" s="715" t="n"/>
      <c r="S35" s="715" t="n"/>
      <c r="T35" s="746" t="n"/>
      <c r="U35" s="837" t="n"/>
      <c r="V35" s="698" t="inlineStr">
        <is>
          <t xml:space="preserve">O Niel </t>
        </is>
      </c>
      <c r="W35" s="728" t="inlineStr">
        <is>
          <t>Barnes</t>
        </is>
      </c>
      <c r="X35" s="1015" t="n"/>
      <c r="Y35" s="715" t="n"/>
      <c r="Z35" s="1083" t="inlineStr">
        <is>
          <t>Papou</t>
        </is>
      </c>
      <c r="AA35" s="837" t="n"/>
      <c r="AB35" s="711" t="inlineStr">
        <is>
          <t xml:space="preserve">O Niel </t>
        </is>
      </c>
      <c r="AC35" s="837" t="n"/>
      <c r="AD35" s="746" t="n"/>
      <c r="AE35" s="837" t="n"/>
      <c r="AF35" s="746" t="n"/>
      <c r="AG35" s="837" t="n"/>
      <c r="AH35" s="746" t="n"/>
      <c r="AI35" s="1096" t="inlineStr">
        <is>
          <t>Cecily</t>
        </is>
      </c>
      <c r="AJ35" s="676" t="n"/>
      <c r="AK35" s="891" t="inlineStr">
        <is>
          <t xml:space="preserve">De Waal </t>
        </is>
      </c>
      <c r="AL35" s="1014" t="n"/>
      <c r="AM35" s="746" t="n"/>
      <c r="AN35" s="1016" t="n"/>
    </row>
    <row r="36" ht="18.75" customHeight="1" s="562">
      <c r="A36" s="748" t="inlineStr">
        <is>
          <t xml:space="preserve">Days Worked </t>
        </is>
      </c>
      <c r="B36" s="749" t="n"/>
      <c r="C36" s="755" t="n">
        <v>22</v>
      </c>
      <c r="D36" s="755" t="n">
        <v>3</v>
      </c>
      <c r="E36" s="755" t="n">
        <v>22</v>
      </c>
      <c r="F36" s="755" t="n">
        <v>21</v>
      </c>
      <c r="G36" s="755" t="n">
        <v>17</v>
      </c>
      <c r="H36" s="755" t="n">
        <v>15</v>
      </c>
      <c r="I36" s="755" t="n">
        <v>27</v>
      </c>
      <c r="J36" s="755" t="n">
        <v>22</v>
      </c>
      <c r="K36" s="755" t="n">
        <v>16</v>
      </c>
      <c r="L36" s="755" t="n">
        <v>8</v>
      </c>
      <c r="M36" s="755" t="n">
        <v>20</v>
      </c>
      <c r="N36" s="842" t="n"/>
      <c r="O36" s="755" t="n">
        <v>13</v>
      </c>
      <c r="P36" s="843" t="n"/>
      <c r="Q36" s="755" t="n">
        <v>22</v>
      </c>
      <c r="R36" s="755" t="n"/>
      <c r="S36" s="755" t="n">
        <v>16</v>
      </c>
      <c r="T36" s="842" t="n">
        <v>1</v>
      </c>
      <c r="U36" s="755" t="n">
        <v>20</v>
      </c>
      <c r="V36" s="755" t="n">
        <v>13</v>
      </c>
      <c r="W36" s="755" t="n">
        <v>22</v>
      </c>
      <c r="X36" s="755" t="n"/>
      <c r="Y36" s="755" t="n">
        <v>20</v>
      </c>
      <c r="Z36" s="755" t="n">
        <v>16</v>
      </c>
      <c r="AA36" s="755" t="n"/>
      <c r="AB36" s="755" t="n">
        <v>22</v>
      </c>
      <c r="AC36" s="755" t="n"/>
      <c r="AD36" s="755" t="n">
        <v>4</v>
      </c>
      <c r="AE36" s="755" t="n"/>
      <c r="AF36" s="755" t="n">
        <v>7</v>
      </c>
      <c r="AG36" s="752" t="n">
        <v>14</v>
      </c>
      <c r="AH36" s="755" t="n">
        <v>7</v>
      </c>
      <c r="AI36" s="755" t="n"/>
      <c r="AJ36" s="752" t="n">
        <v>14</v>
      </c>
      <c r="AK36" s="755" t="n">
        <v>12</v>
      </c>
      <c r="AL36" s="752" t="n">
        <v>5</v>
      </c>
      <c r="AM36" s="755" t="n">
        <v>6</v>
      </c>
      <c r="AN36" s="752" t="n">
        <v>7</v>
      </c>
    </row>
    <row r="37" ht="18.75" customHeight="1" s="562">
      <c r="A37" s="757" t="inlineStr">
        <is>
          <t xml:space="preserve">Money added </t>
        </is>
      </c>
      <c r="B37" s="1116" t="n"/>
      <c r="C37" s="755" t="n"/>
      <c r="D37" s="755" t="n"/>
      <c r="E37" s="755" t="n"/>
      <c r="F37" s="755" t="n"/>
      <c r="G37" s="755" t="n"/>
      <c r="H37" s="755" t="n">
        <v>350</v>
      </c>
      <c r="I37" s="755" t="n"/>
      <c r="J37" s="755" t="n"/>
      <c r="K37" s="752" t="n"/>
      <c r="L37" s="755" t="n">
        <v>3700</v>
      </c>
      <c r="M37" s="898" t="n"/>
      <c r="N37" s="842" t="n"/>
      <c r="O37" s="755" t="n"/>
      <c r="P37" s="843" t="n"/>
      <c r="Q37" s="755" t="n"/>
      <c r="R37" s="755" t="n"/>
      <c r="S37" s="755" t="n"/>
      <c r="T37" s="842" t="n"/>
      <c r="U37" s="752" t="n"/>
      <c r="V37" s="844" t="n">
        <v>200</v>
      </c>
      <c r="W37" s="898" t="n"/>
      <c r="X37" s="898" t="n"/>
      <c r="Y37" s="898" t="n"/>
      <c r="Z37" s="757" t="n"/>
      <c r="AA37" s="757" t="n"/>
      <c r="AB37" s="898" t="n">
        <v>950</v>
      </c>
      <c r="AC37" s="757" t="n"/>
      <c r="AD37" s="757" t="n"/>
      <c r="AE37" s="757" t="n"/>
      <c r="AF37" s="757" t="n"/>
      <c r="AG37" s="757" t="n">
        <v>250</v>
      </c>
      <c r="AH37" s="757" t="n"/>
      <c r="AI37" s="757" t="n">
        <v>9600</v>
      </c>
      <c r="AJ37" s="757" t="n"/>
      <c r="AK37" s="898" t="n"/>
      <c r="AL37" s="898" t="n"/>
      <c r="AM37" s="898" t="n"/>
      <c r="AN37" s="898" t="n"/>
    </row>
    <row r="38" ht="18.75" customHeight="1" s="562">
      <c r="A38" s="757" t="inlineStr">
        <is>
          <t xml:space="preserve">Money Borrowed </t>
        </is>
      </c>
      <c r="B38" s="757" t="n"/>
      <c r="C38" s="757" t="n"/>
      <c r="D38" s="757" t="n"/>
      <c r="E38" s="757" t="n"/>
      <c r="F38" s="757" t="n"/>
      <c r="G38" s="757" t="n"/>
      <c r="H38" s="757" t="n"/>
      <c r="I38" s="757" t="n"/>
      <c r="J38" s="757" t="n"/>
      <c r="K38" s="757" t="n"/>
      <c r="L38" s="757" t="n"/>
      <c r="M38" s="755" t="n">
        <v>1000</v>
      </c>
      <c r="N38" s="757" t="n"/>
      <c r="O38" s="757" t="n"/>
      <c r="P38" s="757" t="n"/>
      <c r="Q38" s="758" t="n">
        <v>450</v>
      </c>
      <c r="R38" s="757" t="n"/>
      <c r="S38" s="757" t="n">
        <v>150</v>
      </c>
      <c r="T38" s="847" t="n"/>
      <c r="U38" s="673" t="n"/>
      <c r="V38" s="848" t="n"/>
      <c r="W38" s="898" t="n">
        <v>450</v>
      </c>
      <c r="X38" s="898" t="n"/>
      <c r="Y38" s="898" t="n"/>
      <c r="Z38" s="757" t="n">
        <v>500</v>
      </c>
      <c r="AA38" s="757" t="n"/>
      <c r="AB38" s="898" t="n">
        <v>1000</v>
      </c>
      <c r="AC38" s="757" t="n"/>
      <c r="AD38" s="757" t="n">
        <v>500</v>
      </c>
      <c r="AE38" s="757" t="n"/>
      <c r="AF38" s="757" t="n">
        <v>500</v>
      </c>
      <c r="AG38" s="757" t="n">
        <v>750</v>
      </c>
      <c r="AH38" s="757" t="n">
        <v>500</v>
      </c>
      <c r="AI38" s="757" t="n">
        <v>430</v>
      </c>
      <c r="AJ38" s="757" t="n">
        <v>500</v>
      </c>
      <c r="AK38" s="757" t="n">
        <v>500</v>
      </c>
      <c r="AL38" s="757" t="n">
        <v>500</v>
      </c>
      <c r="AM38" s="898" t="n"/>
      <c r="AN38" s="757" t="n">
        <v>500</v>
      </c>
    </row>
    <row r="39" ht="24" customHeight="1" s="562">
      <c r="A39" s="899" t="inlineStr">
        <is>
          <t>Total Amount</t>
        </is>
      </c>
      <c r="B39" s="900">
        <f>SUM(C39:AN39)</f>
        <v/>
      </c>
      <c r="C39" s="1117" t="n">
        <v>10500</v>
      </c>
      <c r="D39" s="1117">
        <f>D2*D36+D37</f>
        <v/>
      </c>
      <c r="E39" s="1117" t="n">
        <v>8000</v>
      </c>
      <c r="F39" s="1117">
        <f>F36*F2-F38</f>
        <v/>
      </c>
      <c r="G39" s="1117">
        <f>G36*G2-G38</f>
        <v/>
      </c>
      <c r="H39" s="1117">
        <f>H2*H36+H37</f>
        <v/>
      </c>
      <c r="I39" s="1117">
        <f>I2*I36</f>
        <v/>
      </c>
      <c r="J39" s="1117">
        <f>J2*J36+J37</f>
        <v/>
      </c>
      <c r="K39" s="1117">
        <f>K2*K36</f>
        <v/>
      </c>
      <c r="L39" s="1117">
        <f>L2*L36+L37</f>
        <v/>
      </c>
      <c r="M39" s="853">
        <f>M2*M36-M38</f>
        <v/>
      </c>
      <c r="N39" s="853">
        <f>N2*N36</f>
        <v/>
      </c>
      <c r="O39" s="853">
        <f>O2*O36-O38</f>
        <v/>
      </c>
      <c r="P39" s="853">
        <f>P2*P36-P38</f>
        <v/>
      </c>
      <c r="Q39" s="853">
        <f>Q2*Q36-Q38</f>
        <v/>
      </c>
      <c r="R39" s="853">
        <f>R2*R36</f>
        <v/>
      </c>
      <c r="S39" s="853">
        <f>S2*S36-S38</f>
        <v/>
      </c>
      <c r="T39" s="854">
        <f>T2*T36-T38</f>
        <v/>
      </c>
      <c r="U39" s="853">
        <f>SUM(U2*U36-U38)</f>
        <v/>
      </c>
      <c r="V39" s="853">
        <f>V2*V36-V38+V37</f>
        <v/>
      </c>
      <c r="W39" s="1021" t="n">
        <v>6650</v>
      </c>
      <c r="X39" s="1021" t="n"/>
      <c r="Y39" s="1021">
        <f>Y2*Y36</f>
        <v/>
      </c>
      <c r="Z39" s="1021">
        <f>Z2*Z36-Z38</f>
        <v/>
      </c>
      <c r="AA39" s="1021">
        <f>AA2*AA36-AA38</f>
        <v/>
      </c>
      <c r="AB39" s="1021">
        <f>AB2*AB36-AB38+AB37</f>
        <v/>
      </c>
      <c r="AC39" s="1021">
        <f>AC2*AC36</f>
        <v/>
      </c>
      <c r="AD39" s="1021">
        <f>AD2*AD36-AD38</f>
        <v/>
      </c>
      <c r="AE39" s="1021">
        <f>AE2*AE36-AE38</f>
        <v/>
      </c>
      <c r="AF39" s="1021">
        <f>AF2*AF36-AF38</f>
        <v/>
      </c>
      <c r="AG39" s="1021">
        <f>AG2*AG36+AG37-AG38</f>
        <v/>
      </c>
      <c r="AH39" s="1021">
        <f>AH2*AH36-AH38</f>
        <v/>
      </c>
      <c r="AI39" s="1021">
        <f>AI37-AI38</f>
        <v/>
      </c>
      <c r="AJ39" s="1021">
        <f>AJ2*AJ36-AJ38</f>
        <v/>
      </c>
      <c r="AK39" s="1021">
        <f>AK2*AK36-AK38</f>
        <v/>
      </c>
      <c r="AL39" s="1021">
        <f>AL2*AL36-AL38</f>
        <v/>
      </c>
      <c r="AM39" s="1021">
        <f>AM2*AM36</f>
        <v/>
      </c>
      <c r="AN39" s="1021">
        <f>AN2*AN36-AN38</f>
        <v/>
      </c>
    </row>
    <row r="40" ht="18" customHeight="1" s="562">
      <c r="A40" s="1023" t="n"/>
      <c r="B40" s="1023" t="n"/>
      <c r="C40" s="623" t="n"/>
      <c r="D40" s="623" t="n"/>
      <c r="E40" s="623" t="n"/>
      <c r="F40" s="623" t="n"/>
      <c r="G40" s="623" t="n"/>
      <c r="H40" s="623" t="n"/>
      <c r="I40" s="623" t="n"/>
      <c r="J40" s="623" t="n"/>
      <c r="K40" s="623" t="n"/>
      <c r="L40" s="623" t="n"/>
      <c r="M40" s="623" t="n"/>
      <c r="N40" s="623" t="n"/>
      <c r="O40" s="623" t="n"/>
      <c r="P40" s="623" t="n"/>
      <c r="Q40" s="623" t="n"/>
      <c r="R40" s="623" t="n"/>
      <c r="S40" s="623" t="n"/>
      <c r="T40" s="623" t="n"/>
      <c r="U40" s="623" t="n"/>
      <c r="V40" s="1024" t="n"/>
      <c r="W40" s="1023" t="n"/>
    </row>
    <row r="41" ht="18" customHeight="1" s="562">
      <c r="A41" s="1023" t="n"/>
      <c r="B41" s="1023" t="n"/>
      <c r="C41" s="623" t="n"/>
      <c r="D41" s="623" t="n"/>
      <c r="E41" s="623" t="n"/>
      <c r="F41" s="623" t="n"/>
      <c r="G41" s="623" t="n"/>
      <c r="H41" s="623" t="n"/>
      <c r="I41" s="623" t="n"/>
      <c r="J41" s="623" t="n"/>
      <c r="K41" s="623" t="n"/>
      <c r="L41" s="623" t="n"/>
      <c r="M41" s="623" t="n"/>
      <c r="N41" s="623" t="n"/>
      <c r="O41" s="623" t="n"/>
      <c r="P41" s="623" t="n"/>
      <c r="Q41" s="623" t="n"/>
      <c r="R41" s="623" t="n"/>
      <c r="S41" s="623" t="n"/>
      <c r="T41" s="623" t="n"/>
      <c r="U41" s="623" t="n"/>
      <c r="V41" s="1024" t="n"/>
      <c r="W41" s="1023" t="n"/>
    </row>
    <row r="42" ht="18" customHeight="1" s="562">
      <c r="A42" s="1023" t="n"/>
      <c r="B42" s="1023" t="n"/>
      <c r="C42" s="623" t="n"/>
      <c r="D42" s="623" t="n"/>
      <c r="E42" s="623" t="n"/>
      <c r="F42" s="623" t="n"/>
      <c r="G42" s="623" t="n"/>
      <c r="H42" s="623" t="n"/>
      <c r="I42" s="623" t="n"/>
      <c r="J42" s="623" t="n"/>
      <c r="K42" s="623" t="n"/>
      <c r="L42" s="623" t="n"/>
      <c r="M42" s="623" t="n"/>
      <c r="N42" s="623" t="n"/>
      <c r="O42" s="623" t="n"/>
      <c r="P42" s="623" t="n"/>
      <c r="Q42" s="623" t="n"/>
      <c r="R42" s="623" t="n"/>
      <c r="S42" s="623" t="n"/>
      <c r="T42" s="623" t="n"/>
      <c r="U42" s="623" t="n"/>
      <c r="V42" s="1024" t="n"/>
      <c r="W42" s="1023" t="n"/>
    </row>
    <row r="43" ht="18.75" customHeight="1" s="562">
      <c r="A43" s="1023" t="n"/>
      <c r="B43" s="1023" t="n"/>
      <c r="C43" s="623" t="n"/>
      <c r="D43" s="623" t="n"/>
      <c r="E43" s="623" t="n"/>
      <c r="F43" s="623" t="n"/>
      <c r="G43" s="623" t="n"/>
      <c r="H43" s="623" t="n"/>
      <c r="I43" s="623" t="n"/>
      <c r="J43" s="623" t="n"/>
      <c r="K43" s="623" t="n"/>
      <c r="L43" s="623" t="n"/>
      <c r="M43" s="623" t="n"/>
      <c r="N43" s="623" t="n"/>
      <c r="O43" s="623" t="n"/>
      <c r="P43" s="623" t="n"/>
      <c r="Q43" s="623" t="n"/>
      <c r="R43" s="623" t="n"/>
      <c r="S43" s="623" t="n"/>
      <c r="T43" s="623" t="n"/>
      <c r="U43" s="623" t="n"/>
      <c r="V43" s="1024" t="n"/>
      <c r="W43" s="1023" t="n"/>
    </row>
    <row r="44" ht="18.75" customHeight="1" s="562">
      <c r="A44" s="1025" t="n"/>
      <c r="B44" s="642" t="n"/>
    </row>
    <row r="45" ht="18.75" customHeight="1" s="562">
      <c r="A45" s="1026" t="n"/>
      <c r="B45" s="642" t="n"/>
    </row>
    <row r="47" ht="15.75" customHeight="1" s="562">
      <c r="B47" s="59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S105"/>
  <sheetViews>
    <sheetView showFormulas="0" showGridLines="1" showRowColHeaders="1" showZeros="1" rightToLeft="0" tabSelected="0" showOutlineSymbols="1" defaultGridColor="1" view="normal" topLeftCell="A75" colorId="64" zoomScale="75" zoomScaleNormal="75" zoomScalePageLayoutView="100" workbookViewId="0">
      <selection pane="topLeft" activeCell="J62" activeCellId="0" sqref="J62"/>
    </sheetView>
  </sheetViews>
  <sheetFormatPr baseColWidth="8" defaultColWidth="10.4921875" defaultRowHeight="15.75" customHeight="0" zeroHeight="0" outlineLevelRow="0"/>
  <cols>
    <col width="25.33" customWidth="1" style="561" min="1" max="1"/>
    <col width="18.16" customWidth="1" style="561" min="2" max="2"/>
    <col width="14" customWidth="1" style="561" min="3" max="3"/>
    <col width="11" customWidth="1" style="561" min="5" max="5"/>
    <col width="18.16" customWidth="1" style="561" min="6" max="6"/>
    <col width="14" customWidth="1" style="561" min="7" max="7"/>
    <col width="11" customWidth="1" style="561" min="9" max="9"/>
    <col width="22" customWidth="1" style="561" min="10" max="10"/>
    <col width="14" customWidth="1" style="561" min="11" max="11"/>
    <col width="11" customWidth="1" style="561" min="13" max="13"/>
    <col width="18.16" customWidth="1" style="561" min="14" max="14"/>
    <col width="14" customWidth="1" style="561" min="15" max="15"/>
    <col width="19" customWidth="1" style="561" min="18" max="18"/>
    <col width="14" customWidth="1" style="561" min="19" max="19"/>
  </cols>
  <sheetData>
    <row r="1" ht="18.75" customHeight="1" s="562">
      <c r="A1" s="1028" t="inlineStr">
        <is>
          <t>Johnstons- monthly</t>
        </is>
      </c>
      <c r="B1" s="617" t="n"/>
      <c r="C1" s="637" t="n"/>
      <c r="E1" s="1029" t="inlineStr">
        <is>
          <t>John Bierman- monthly</t>
        </is>
      </c>
      <c r="F1" s="617" t="n"/>
      <c r="G1" s="637" t="n"/>
      <c r="I1" s="1028" t="inlineStr">
        <is>
          <t>Trevor Botes- monthly</t>
        </is>
      </c>
      <c r="J1" s="617" t="n"/>
      <c r="K1" s="637" t="n"/>
      <c r="M1" s="1029" t="inlineStr">
        <is>
          <t>Dirk Le Roux- monthly</t>
        </is>
      </c>
      <c r="N1" s="617" t="n"/>
      <c r="O1" s="637" t="n"/>
      <c r="Q1" s="1029" t="inlineStr">
        <is>
          <t>Mia Ras- monthly</t>
        </is>
      </c>
      <c r="R1" s="617" t="n"/>
      <c r="S1" s="637" t="n"/>
    </row>
    <row r="2" ht="18.75" customHeight="1" s="562">
      <c r="A2" s="616" t="inlineStr">
        <is>
          <t xml:space="preserve">Income </t>
        </is>
      </c>
      <c r="B2" s="617" t="n"/>
      <c r="C2" s="618" t="n"/>
      <c r="E2" s="619" t="inlineStr">
        <is>
          <t xml:space="preserve">Income </t>
        </is>
      </c>
      <c r="F2" s="617" t="n"/>
      <c r="G2" s="618" t="n"/>
      <c r="I2" s="616" t="inlineStr">
        <is>
          <t xml:space="preserve">Income </t>
        </is>
      </c>
      <c r="J2" s="617" t="n"/>
      <c r="K2" s="618" t="n"/>
      <c r="M2" s="619" t="inlineStr">
        <is>
          <t xml:space="preserve">Income </t>
        </is>
      </c>
      <c r="N2" s="617" t="n"/>
      <c r="O2" s="618" t="n"/>
      <c r="Q2" s="619" t="inlineStr">
        <is>
          <t xml:space="preserve">Income </t>
        </is>
      </c>
      <c r="R2" s="617" t="n"/>
      <c r="S2" s="618" t="n"/>
    </row>
    <row r="3" ht="18" customHeight="1" s="562">
      <c r="A3" s="620" t="inlineStr">
        <is>
          <t>Date:</t>
        </is>
      </c>
      <c r="B3" s="591" t="n"/>
      <c r="C3" s="621" t="inlineStr">
        <is>
          <t xml:space="preserve">Payment </t>
        </is>
      </c>
      <c r="E3" s="622" t="inlineStr">
        <is>
          <t>Date:</t>
        </is>
      </c>
      <c r="F3" s="623" t="n"/>
      <c r="G3" s="624" t="inlineStr">
        <is>
          <t xml:space="preserve">Payment </t>
        </is>
      </c>
      <c r="I3" s="620" t="inlineStr">
        <is>
          <t>Date:</t>
        </is>
      </c>
      <c r="J3" s="591" t="n"/>
      <c r="K3" s="621" t="inlineStr">
        <is>
          <t xml:space="preserve">Payment </t>
        </is>
      </c>
      <c r="M3" s="622" t="inlineStr">
        <is>
          <t>Date:</t>
        </is>
      </c>
      <c r="N3" s="623" t="n"/>
      <c r="O3" s="624" t="inlineStr">
        <is>
          <t xml:space="preserve">Payment </t>
        </is>
      </c>
      <c r="Q3" s="622" t="inlineStr">
        <is>
          <t>Date:</t>
        </is>
      </c>
      <c r="R3" s="623" t="n"/>
      <c r="S3" s="624" t="inlineStr">
        <is>
          <t xml:space="preserve">Payment </t>
        </is>
      </c>
    </row>
    <row r="4" ht="18" customHeight="1" s="562">
      <c r="A4" s="625" t="n">
        <v>46113</v>
      </c>
      <c r="B4" s="766" t="inlineStr">
        <is>
          <t>Invoiced NPC</t>
        </is>
      </c>
      <c r="C4" s="1118" t="n">
        <v>16500</v>
      </c>
      <c r="E4" s="625" t="n">
        <v>46113</v>
      </c>
      <c r="F4" s="766" t="inlineStr">
        <is>
          <t>Invoiced TCH</t>
        </is>
      </c>
      <c r="G4" s="864" t="n">
        <v>17600</v>
      </c>
      <c r="I4" s="625" t="n">
        <v>46113</v>
      </c>
      <c r="J4" s="766" t="inlineStr">
        <is>
          <t xml:space="preserve">invoiced </t>
        </is>
      </c>
      <c r="K4" s="1118" t="n">
        <v>16500</v>
      </c>
      <c r="M4" s="628" t="n">
        <v>46113</v>
      </c>
      <c r="N4" s="766" t="inlineStr">
        <is>
          <t>invoiced TCH</t>
        </is>
      </c>
      <c r="O4" s="864" t="n">
        <v>3750</v>
      </c>
      <c r="Q4" s="862" t="n">
        <v>46113</v>
      </c>
      <c r="R4" s="863" t="inlineStr">
        <is>
          <t xml:space="preserve">invoiced </t>
        </is>
      </c>
      <c r="S4" s="627" t="n">
        <v>11900</v>
      </c>
    </row>
    <row r="5" ht="18" customHeight="1" s="562">
      <c r="A5" s="625" t="n"/>
      <c r="B5" s="609" t="n"/>
      <c r="C5" s="601" t="n"/>
      <c r="E5" s="625" t="n"/>
      <c r="F5" s="626" t="n"/>
      <c r="G5" s="627" t="n"/>
      <c r="I5" s="625" t="n"/>
      <c r="J5" s="766" t="n"/>
      <c r="K5" s="601" t="n"/>
      <c r="M5" s="628" t="n"/>
      <c r="N5" s="766" t="n"/>
      <c r="O5" s="627" t="n"/>
      <c r="Q5" s="627" t="n"/>
      <c r="R5" s="627" t="n"/>
      <c r="S5" s="627" t="n"/>
    </row>
    <row r="6" ht="18" customHeight="1" s="562">
      <c r="A6" s="625" t="n"/>
      <c r="B6" s="609" t="n"/>
      <c r="C6" s="601" t="n"/>
      <c r="E6" s="625" t="n"/>
      <c r="F6" s="626" t="n"/>
      <c r="G6" s="627" t="n"/>
      <c r="I6" s="625" t="n"/>
      <c r="J6" s="766" t="n"/>
      <c r="K6" s="601" t="n"/>
      <c r="M6" s="628" t="n"/>
      <c r="N6" s="626" t="n"/>
      <c r="O6" s="624" t="n"/>
      <c r="Q6" s="627" t="n"/>
      <c r="R6" s="627" t="n"/>
      <c r="S6" s="627" t="n"/>
    </row>
    <row r="7" ht="18.75" customHeight="1" s="562">
      <c r="A7" s="620" t="n"/>
      <c r="B7" s="591" t="n"/>
      <c r="C7" s="861" t="n"/>
      <c r="E7" s="622" t="n"/>
      <c r="F7" s="623" t="n"/>
      <c r="G7" s="627" t="n"/>
      <c r="I7" s="625" t="n"/>
      <c r="J7" s="609" t="n"/>
      <c r="K7" s="861" t="n"/>
      <c r="M7" s="628" t="n"/>
      <c r="N7" s="626" t="n"/>
      <c r="O7" s="624" t="n"/>
      <c r="Q7" s="627" t="n"/>
      <c r="R7" s="627" t="n"/>
      <c r="S7" s="639" t="n"/>
    </row>
    <row r="8" ht="18.75" customHeight="1" s="562">
      <c r="A8" s="620" t="n"/>
      <c r="B8" s="591" t="n"/>
      <c r="C8" s="642">
        <f>SUM(C4:C7)</f>
        <v/>
      </c>
      <c r="E8" s="622" t="n"/>
      <c r="F8" s="623" t="n"/>
      <c r="G8" s="630">
        <f>SUM(G4:G7)</f>
        <v/>
      </c>
      <c r="I8" s="620" t="n"/>
      <c r="J8" s="591" t="n"/>
      <c r="K8" s="642">
        <f>SUM(K4:K7)</f>
        <v/>
      </c>
      <c r="M8" s="622" t="n"/>
      <c r="N8" s="623" t="n"/>
      <c r="O8" s="631">
        <f>SUM(O4:O7)</f>
        <v/>
      </c>
      <c r="Q8" s="627" t="n"/>
      <c r="R8" s="915" t="n"/>
      <c r="S8" s="631">
        <f>SUM(S4:S7)</f>
        <v/>
      </c>
    </row>
    <row r="9" ht="18.75" customHeight="1" s="562">
      <c r="A9" s="632" t="inlineStr">
        <is>
          <t xml:space="preserve">Expenses </t>
        </is>
      </c>
      <c r="B9" s="617" t="n"/>
      <c r="C9" s="618" t="n"/>
      <c r="E9" s="633" t="inlineStr">
        <is>
          <t xml:space="preserve">Expenses </t>
        </is>
      </c>
      <c r="F9" s="617" t="n"/>
      <c r="G9" s="618" t="n"/>
      <c r="I9" s="632" t="inlineStr">
        <is>
          <t xml:space="preserve">Expenses </t>
        </is>
      </c>
      <c r="J9" s="617" t="n"/>
      <c r="K9" s="618" t="n"/>
      <c r="M9" s="643" t="inlineStr">
        <is>
          <t xml:space="preserve">Expenses </t>
        </is>
      </c>
      <c r="N9" s="617" t="n"/>
      <c r="O9" s="618" t="n"/>
      <c r="Q9" s="643" t="inlineStr">
        <is>
          <t xml:space="preserve">Expenses </t>
        </is>
      </c>
      <c r="R9" s="617" t="n"/>
      <c r="S9" s="618" t="n"/>
    </row>
    <row r="10" ht="18" customHeight="1" s="562">
      <c r="A10" s="620" t="inlineStr">
        <is>
          <t>Date:</t>
        </is>
      </c>
      <c r="B10" s="591" t="inlineStr">
        <is>
          <t xml:space="preserve">Expense Name </t>
        </is>
      </c>
      <c r="C10" s="621" t="inlineStr">
        <is>
          <t xml:space="preserve">Amount </t>
        </is>
      </c>
      <c r="E10" s="622" t="inlineStr">
        <is>
          <t>Date:</t>
        </is>
      </c>
      <c r="F10" s="623" t="inlineStr">
        <is>
          <t xml:space="preserve">Expense Name </t>
        </is>
      </c>
      <c r="G10" s="624" t="inlineStr">
        <is>
          <t xml:space="preserve">Amount </t>
        </is>
      </c>
      <c r="I10" s="620" t="inlineStr">
        <is>
          <t>Date:</t>
        </is>
      </c>
      <c r="J10" s="591" t="inlineStr">
        <is>
          <t xml:space="preserve">Expense Name </t>
        </is>
      </c>
      <c r="K10" s="621" t="inlineStr">
        <is>
          <t xml:space="preserve">Amount </t>
        </is>
      </c>
      <c r="M10" s="622" t="inlineStr">
        <is>
          <t>Date:</t>
        </is>
      </c>
      <c r="N10" s="623" t="inlineStr">
        <is>
          <t xml:space="preserve">Expense Name </t>
        </is>
      </c>
      <c r="O10" s="624" t="inlineStr">
        <is>
          <t xml:space="preserve">Amount </t>
        </is>
      </c>
      <c r="Q10" s="622" t="inlineStr">
        <is>
          <t>Date:</t>
        </is>
      </c>
      <c r="R10" s="623" t="inlineStr">
        <is>
          <t xml:space="preserve">Expense Name </t>
        </is>
      </c>
      <c r="S10" s="624" t="inlineStr">
        <is>
          <t xml:space="preserve">Amount </t>
        </is>
      </c>
    </row>
    <row r="11" ht="18" customHeight="1" s="562">
      <c r="A11" s="625" t="n">
        <v>46113</v>
      </c>
      <c r="B11" s="591" t="inlineStr">
        <is>
          <t xml:space="preserve">Linda </t>
        </is>
      </c>
      <c r="C11" s="621" t="n"/>
      <c r="E11" s="625" t="n">
        <v>46113</v>
      </c>
      <c r="F11" s="591" t="inlineStr">
        <is>
          <t>Susan</t>
        </is>
      </c>
      <c r="G11" s="621" t="n"/>
      <c r="I11" s="625" t="n">
        <v>46113</v>
      </c>
      <c r="J11" s="591" t="inlineStr">
        <is>
          <t>Siphilisiwe (Patrica)</t>
        </is>
      </c>
      <c r="K11" s="621" t="n"/>
      <c r="M11" s="625" t="n">
        <v>46113</v>
      </c>
      <c r="N11" s="623" t="inlineStr">
        <is>
          <t>Ruth</t>
        </is>
      </c>
      <c r="O11" s="624" t="n"/>
      <c r="Q11" s="625" t="n">
        <v>46113</v>
      </c>
      <c r="R11" s="623" t="inlineStr">
        <is>
          <t>Marion</t>
        </is>
      </c>
      <c r="S11" s="624" t="n"/>
    </row>
    <row r="12" ht="18" customHeight="1" s="562">
      <c r="A12" s="625" t="n"/>
      <c r="B12" s="591" t="n"/>
      <c r="C12" s="621" t="n"/>
      <c r="E12" s="620" t="n"/>
      <c r="F12" s="591" t="n"/>
      <c r="G12" s="621" t="n"/>
      <c r="I12" s="628" t="n"/>
      <c r="K12" s="621" t="n"/>
      <c r="M12" s="628" t="n"/>
      <c r="N12" s="623" t="n"/>
      <c r="O12" s="624" t="n"/>
      <c r="Q12" s="625" t="n"/>
      <c r="R12" s="623" t="n"/>
      <c r="S12" s="624" t="n"/>
    </row>
    <row r="13" ht="18" customHeight="1" s="562">
      <c r="A13" s="620" t="n"/>
      <c r="B13" s="591" t="n"/>
      <c r="C13" s="621" t="n"/>
      <c r="E13" s="620" t="n"/>
      <c r="F13" s="591" t="n"/>
      <c r="G13" s="621" t="n"/>
      <c r="I13" s="628" t="n"/>
      <c r="J13" s="591" t="n"/>
      <c r="K13" s="621" t="n"/>
      <c r="M13" s="628" t="n"/>
      <c r="N13" s="623" t="n"/>
      <c r="O13" s="624" t="n"/>
      <c r="Q13" s="628" t="n"/>
      <c r="R13" s="623" t="n"/>
      <c r="S13" s="624" t="n"/>
    </row>
    <row r="14" ht="18" customHeight="1" s="562">
      <c r="A14" s="620" t="n"/>
      <c r="B14" s="591" t="n"/>
      <c r="C14" s="621" t="n"/>
      <c r="E14" s="620" t="n"/>
      <c r="F14" s="591" t="n"/>
      <c r="G14" s="621" t="n"/>
      <c r="I14" s="620" t="n"/>
      <c r="J14" s="591" t="n"/>
      <c r="K14" s="621" t="n"/>
      <c r="M14" s="622" t="n"/>
      <c r="N14" s="623" t="n"/>
      <c r="O14" s="624" t="n"/>
      <c r="Q14" s="628" t="n"/>
      <c r="R14" s="623" t="n"/>
      <c r="S14" s="624" t="n"/>
    </row>
    <row r="15" ht="18" customHeight="1" s="562">
      <c r="A15" s="620" t="n"/>
      <c r="B15" s="591" t="n"/>
      <c r="C15" s="621" t="n"/>
      <c r="E15" s="620" t="n"/>
      <c r="F15" s="591" t="n"/>
      <c r="G15" s="621" t="n"/>
      <c r="I15" s="620" t="n"/>
      <c r="J15" s="591" t="n"/>
      <c r="K15" s="621" t="n"/>
      <c r="M15" s="622" t="n"/>
      <c r="N15" s="623" t="n"/>
      <c r="O15" s="624" t="n"/>
      <c r="Q15" s="622" t="n"/>
      <c r="R15" s="623" t="n"/>
      <c r="S15" s="624" t="n"/>
    </row>
    <row r="16" ht="18" customHeight="1" s="562">
      <c r="A16" s="620" t="n"/>
      <c r="B16" s="591" t="n"/>
      <c r="C16" s="621" t="n"/>
      <c r="E16" s="620" t="n"/>
      <c r="F16" s="591" t="n"/>
      <c r="G16" s="621" t="n"/>
      <c r="I16" s="620" t="n"/>
      <c r="J16" s="591" t="n"/>
      <c r="K16" s="621" t="n"/>
      <c r="M16" s="622" t="n"/>
      <c r="N16" s="623" t="n"/>
      <c r="O16" s="624" t="n"/>
      <c r="Q16" s="622" t="n"/>
      <c r="R16" s="623" t="n"/>
      <c r="S16" s="624" t="n"/>
    </row>
    <row r="17" ht="18" customHeight="1" s="562">
      <c r="A17" s="620" t="n"/>
      <c r="B17" s="591" t="n"/>
      <c r="C17" s="621" t="n"/>
      <c r="E17" s="620" t="n"/>
      <c r="F17" s="591" t="n"/>
      <c r="G17" s="621" t="n"/>
      <c r="I17" s="620" t="n"/>
      <c r="J17" s="591" t="n"/>
      <c r="K17" s="621" t="n"/>
      <c r="M17" s="622" t="n"/>
      <c r="N17" s="623" t="n"/>
      <c r="O17" s="624" t="n"/>
      <c r="Q17" s="622" t="n"/>
      <c r="R17" s="623" t="n"/>
      <c r="S17" s="624" t="n"/>
    </row>
    <row r="18" ht="18" customHeight="1" s="562">
      <c r="A18" s="620" t="n"/>
      <c r="B18" s="591" t="n"/>
      <c r="C18" s="621" t="n"/>
      <c r="E18" s="620" t="n"/>
      <c r="F18" s="591" t="n"/>
      <c r="G18" s="621" t="n"/>
      <c r="I18" s="620" t="n"/>
      <c r="J18" s="591" t="n"/>
      <c r="K18" s="621" t="n"/>
      <c r="M18" s="622" t="n"/>
      <c r="N18" s="623" t="n"/>
      <c r="O18" s="624" t="n"/>
      <c r="Q18" s="622" t="n"/>
      <c r="R18" s="623" t="n"/>
      <c r="S18" s="624" t="n"/>
    </row>
    <row r="19" ht="18" customHeight="1" s="562">
      <c r="A19" s="620" t="n"/>
      <c r="B19" s="591" t="n"/>
      <c r="C19" s="621" t="n"/>
      <c r="E19" s="620" t="n"/>
      <c r="F19" s="591" t="n"/>
      <c r="G19" s="621" t="n"/>
      <c r="I19" s="620" t="n"/>
      <c r="J19" s="591" t="n"/>
      <c r="K19" s="621" t="n"/>
      <c r="M19" s="622" t="n"/>
      <c r="N19" s="623" t="n"/>
      <c r="O19" s="624" t="n"/>
      <c r="Q19" s="622" t="n"/>
      <c r="R19" s="623" t="n"/>
      <c r="S19" s="624" t="n"/>
    </row>
    <row r="20" ht="18" customHeight="1" s="562">
      <c r="A20" s="620" t="n"/>
      <c r="B20" s="591" t="n"/>
      <c r="C20" s="621" t="n"/>
      <c r="E20" s="620" t="n"/>
      <c r="F20" s="591" t="n"/>
      <c r="G20" s="621" t="n"/>
      <c r="I20" s="620" t="n"/>
      <c r="J20" s="591" t="n"/>
      <c r="K20" s="621" t="n"/>
      <c r="M20" s="622" t="n"/>
      <c r="N20" s="623" t="n"/>
      <c r="O20" s="624" t="n"/>
      <c r="Q20" s="622" t="n"/>
      <c r="R20" s="623" t="n"/>
      <c r="S20" s="624" t="n"/>
    </row>
    <row r="21" ht="18" customHeight="1" s="562">
      <c r="A21" s="620" t="n"/>
      <c r="B21" s="591" t="n"/>
      <c r="C21" s="621" t="n"/>
      <c r="E21" s="620" t="n"/>
      <c r="F21" s="591" t="n"/>
      <c r="G21" s="621" t="n"/>
      <c r="I21" s="620" t="n"/>
      <c r="J21" s="591" t="n"/>
      <c r="K21" s="621" t="n"/>
      <c r="M21" s="622" t="n"/>
      <c r="N21" s="623" t="n"/>
      <c r="O21" s="624" t="n"/>
      <c r="Q21" s="622" t="n"/>
      <c r="R21" s="623" t="n"/>
      <c r="S21" s="624" t="n"/>
    </row>
    <row r="22" ht="18.75" customHeight="1" s="562">
      <c r="A22" s="620" t="n"/>
      <c r="B22" s="591" t="n"/>
      <c r="C22" s="621" t="n"/>
      <c r="E22" s="620" t="n"/>
      <c r="F22" s="591" t="n"/>
      <c r="G22" s="621" t="n"/>
      <c r="I22" s="620" t="n"/>
      <c r="J22" s="591" t="n"/>
      <c r="K22" s="621" t="n"/>
      <c r="M22" s="622" t="n"/>
      <c r="N22" s="623" t="n"/>
      <c r="O22" s="624" t="n"/>
      <c r="Q22" s="622" t="n"/>
      <c r="R22" s="623" t="n"/>
      <c r="S22" s="624" t="n"/>
    </row>
    <row r="23" ht="18.75" customHeight="1" s="562">
      <c r="A23" s="634" t="inlineStr">
        <is>
          <t xml:space="preserve">Total Expense </t>
        </is>
      </c>
      <c r="B23" s="617" t="n"/>
      <c r="C23" s="635">
        <f>SUM(C11:C22)</f>
        <v/>
      </c>
      <c r="E23" s="634" t="inlineStr">
        <is>
          <t xml:space="preserve">Total Expense </t>
        </is>
      </c>
      <c r="F23" s="617" t="n"/>
      <c r="G23" s="635">
        <f>SUM(G11:G22)</f>
        <v/>
      </c>
      <c r="I23" s="634" t="inlineStr">
        <is>
          <t xml:space="preserve">Total Expense </t>
        </is>
      </c>
      <c r="J23" s="617" t="n"/>
      <c r="K23" s="635">
        <f>SUM(K11:K22)</f>
        <v/>
      </c>
      <c r="M23" s="644" t="inlineStr">
        <is>
          <t xml:space="preserve">Total Expense </t>
        </is>
      </c>
      <c r="N23" s="637" t="n"/>
      <c r="O23" s="645" t="n"/>
      <c r="Q23" s="910" t="inlineStr">
        <is>
          <t xml:space="preserve">Total Expense </t>
        </is>
      </c>
      <c r="R23" s="911" t="n"/>
      <c r="S23" s="645" t="n"/>
    </row>
    <row r="24" ht="18.75" customHeight="1" s="562">
      <c r="A24" s="636" t="inlineStr">
        <is>
          <t xml:space="preserve">Income - Expense </t>
        </is>
      </c>
      <c r="B24" s="637" t="n"/>
      <c r="C24" s="638">
        <f>MIN(C4-C23)</f>
        <v/>
      </c>
      <c r="E24" s="636" t="inlineStr">
        <is>
          <t xml:space="preserve">Income - Expense </t>
        </is>
      </c>
      <c r="F24" s="637" t="n"/>
      <c r="G24" s="638">
        <f>MIN(G4-G23)</f>
        <v/>
      </c>
      <c r="I24" s="636" t="inlineStr">
        <is>
          <t xml:space="preserve">Income - Expense </t>
        </is>
      </c>
      <c r="J24" s="637" t="n"/>
      <c r="K24" s="638">
        <f>MIN(K4-K23)</f>
        <v/>
      </c>
      <c r="M24" s="646" t="inlineStr">
        <is>
          <t xml:space="preserve">Income - Expense </t>
        </is>
      </c>
      <c r="N24" s="637" t="n"/>
      <c r="O24" s="647" t="n"/>
      <c r="Q24" s="646" t="inlineStr">
        <is>
          <t xml:space="preserve">Income - Expense </t>
        </is>
      </c>
      <c r="R24" s="637" t="n"/>
      <c r="S24" s="773" t="n"/>
    </row>
    <row r="25" ht="16.5" customHeight="1" s="562"/>
    <row r="26" ht="18.75" customHeight="1" s="562">
      <c r="A26" s="1029" t="inlineStr">
        <is>
          <t>Megan Barnes</t>
        </is>
      </c>
      <c r="B26" s="617" t="n"/>
      <c r="C26" s="637" t="n"/>
      <c r="E26" s="1029" t="inlineStr">
        <is>
          <t>Johanna Van Heerden- monthly</t>
        </is>
      </c>
      <c r="F26" s="617" t="n"/>
      <c r="G26" s="637" t="n"/>
      <c r="I26" s="1029" t="inlineStr">
        <is>
          <t xml:space="preserve">Derek Halls </t>
        </is>
      </c>
      <c r="J26" s="617" t="n"/>
      <c r="K26" s="637" t="n"/>
      <c r="M26" s="1029" t="inlineStr">
        <is>
          <t>Carolina Richards</t>
        </is>
      </c>
      <c r="N26" s="617" t="n"/>
      <c r="O26" s="637" t="n"/>
      <c r="Q26" s="1029" t="inlineStr">
        <is>
          <t xml:space="preserve">Webb- Sonja </t>
        </is>
      </c>
      <c r="R26" s="617" t="n"/>
      <c r="S26" s="637" t="n"/>
    </row>
    <row r="27" ht="18.75" customHeight="1" s="562">
      <c r="A27" s="619" t="inlineStr">
        <is>
          <t xml:space="preserve">Income </t>
        </is>
      </c>
      <c r="B27" s="617" t="n"/>
      <c r="C27" s="618" t="n"/>
      <c r="E27" s="619" t="inlineStr">
        <is>
          <t xml:space="preserve">Income </t>
        </is>
      </c>
      <c r="F27" s="617" t="n"/>
      <c r="G27" s="618" t="n"/>
      <c r="I27" s="619" t="inlineStr">
        <is>
          <t xml:space="preserve">Income </t>
        </is>
      </c>
      <c r="J27" s="617" t="n"/>
      <c r="K27" s="618" t="n"/>
      <c r="M27" s="619" t="inlineStr">
        <is>
          <t xml:space="preserve">Income </t>
        </is>
      </c>
      <c r="N27" s="617" t="n"/>
      <c r="O27" s="618" t="n"/>
      <c r="Q27" s="619" t="inlineStr">
        <is>
          <t xml:space="preserve">Income </t>
        </is>
      </c>
      <c r="R27" s="617" t="n"/>
      <c r="S27" s="618" t="n"/>
    </row>
    <row r="28" ht="18" customHeight="1" s="562">
      <c r="A28" s="622" t="inlineStr">
        <is>
          <t>Date:</t>
        </is>
      </c>
      <c r="B28" s="623" t="n"/>
      <c r="C28" s="624" t="inlineStr">
        <is>
          <t xml:space="preserve">Payment </t>
        </is>
      </c>
      <c r="E28" s="622" t="inlineStr">
        <is>
          <t>Date:</t>
        </is>
      </c>
      <c r="F28" s="623" t="n"/>
      <c r="G28" s="624" t="inlineStr">
        <is>
          <t xml:space="preserve">Payment </t>
        </is>
      </c>
      <c r="I28" s="622" t="inlineStr">
        <is>
          <t>Date:</t>
        </is>
      </c>
      <c r="J28" s="623" t="n"/>
      <c r="K28" s="624" t="inlineStr">
        <is>
          <t xml:space="preserve">Payment </t>
        </is>
      </c>
      <c r="M28" s="622" t="inlineStr">
        <is>
          <t>Date:</t>
        </is>
      </c>
      <c r="N28" s="623" t="n"/>
      <c r="O28" s="624" t="inlineStr">
        <is>
          <t xml:space="preserve">Payment </t>
        </is>
      </c>
      <c r="Q28" s="622" t="inlineStr">
        <is>
          <t>Date:</t>
        </is>
      </c>
      <c r="R28" s="623" t="n"/>
      <c r="S28" s="624" t="inlineStr">
        <is>
          <t xml:space="preserve">Payment </t>
        </is>
      </c>
    </row>
    <row r="29" ht="18" customHeight="1" s="562">
      <c r="A29" s="628" t="n">
        <v>46113</v>
      </c>
      <c r="B29" s="766" t="inlineStr">
        <is>
          <t xml:space="preserve">invoiced </t>
        </is>
      </c>
      <c r="C29" s="864" t="n">
        <v>13000</v>
      </c>
      <c r="E29" s="628" t="n">
        <v>46113</v>
      </c>
      <c r="F29" s="766" t="inlineStr">
        <is>
          <t>Invoiced TCH</t>
        </is>
      </c>
      <c r="G29" s="627" t="n">
        <v>23250</v>
      </c>
      <c r="I29" s="628" t="n">
        <v>46113</v>
      </c>
      <c r="J29" s="766" t="inlineStr">
        <is>
          <t xml:space="preserve">invoiced </t>
        </is>
      </c>
      <c r="K29" s="864" t="n">
        <v>17200</v>
      </c>
      <c r="M29" s="862" t="n">
        <v>46113</v>
      </c>
      <c r="N29" s="863" t="inlineStr">
        <is>
          <t xml:space="preserve">invoiced </t>
        </is>
      </c>
      <c r="O29" s="864" t="n">
        <v>24000</v>
      </c>
      <c r="Q29" s="862" t="n">
        <v>46113</v>
      </c>
      <c r="R29" s="863" t="inlineStr">
        <is>
          <t xml:space="preserve">invoiced </t>
        </is>
      </c>
      <c r="S29" s="864" t="n">
        <v>3000</v>
      </c>
    </row>
    <row r="30" ht="18" customHeight="1" s="562">
      <c r="A30" s="628" t="n"/>
      <c r="B30" s="766" t="n"/>
      <c r="C30" s="627" t="n"/>
      <c r="E30" s="628" t="n"/>
      <c r="F30" s="766" t="n"/>
      <c r="G30" s="624" t="n"/>
      <c r="I30" s="628" t="n"/>
      <c r="J30" s="766" t="n"/>
      <c r="K30" s="627" t="n"/>
      <c r="M30" s="862" t="n"/>
      <c r="N30" s="863" t="n"/>
      <c r="O30" s="627" t="n"/>
      <c r="Q30" s="627" t="n"/>
      <c r="R30" s="627" t="n"/>
      <c r="S30" s="627" t="n"/>
    </row>
    <row r="31" ht="18" customHeight="1" s="562">
      <c r="A31" s="628" t="n"/>
      <c r="B31" s="626" t="n"/>
      <c r="C31" s="627" t="n"/>
      <c r="E31" s="628" t="n"/>
      <c r="G31" s="624" t="n"/>
      <c r="I31" s="628" t="n"/>
      <c r="K31" s="624" t="n"/>
      <c r="M31" s="862" t="n"/>
      <c r="N31" s="627" t="n"/>
      <c r="O31" s="627" t="n"/>
      <c r="Q31" s="627" t="n"/>
      <c r="R31" s="627" t="n"/>
      <c r="S31" s="627" t="n"/>
    </row>
    <row r="32" ht="18" customHeight="1" s="562">
      <c r="A32" s="628" t="n"/>
      <c r="B32" s="626" t="n"/>
      <c r="C32" s="624" t="n"/>
      <c r="E32" s="628" t="n"/>
      <c r="F32" s="626" t="n"/>
      <c r="G32" s="624" t="n"/>
      <c r="I32" s="628" t="n"/>
      <c r="J32" s="626" t="n"/>
      <c r="K32" s="624" t="n"/>
      <c r="M32" s="914" t="n"/>
      <c r="N32" s="627" t="n"/>
      <c r="O32" s="627" t="n"/>
      <c r="Q32" s="627" t="n"/>
      <c r="R32" s="627" t="n"/>
      <c r="S32" s="627" t="n"/>
    </row>
    <row r="33" ht="18.75" customHeight="1" s="562">
      <c r="A33" s="628" t="n"/>
      <c r="B33" s="626" t="n"/>
      <c r="C33" s="626" t="n"/>
      <c r="E33" s="628" t="n"/>
      <c r="F33" s="626" t="n"/>
      <c r="G33" s="626" t="n"/>
      <c r="I33" s="628" t="n"/>
      <c r="J33" s="626" t="n"/>
      <c r="K33" s="626" t="n"/>
      <c r="M33" s="914" t="n"/>
      <c r="N33" s="627" t="n"/>
      <c r="O33" s="639" t="n"/>
      <c r="Q33" s="627" t="n"/>
      <c r="R33" s="627" t="n"/>
      <c r="S33" s="639" t="n"/>
    </row>
    <row r="34" ht="18.75" customHeight="1" s="562">
      <c r="A34" s="622" t="n"/>
      <c r="B34" s="623" t="n"/>
      <c r="C34" s="631">
        <f>SUM(C29:C32)</f>
        <v/>
      </c>
      <c r="E34" s="622" t="n"/>
      <c r="F34" s="623" t="n"/>
      <c r="G34" s="631">
        <f>SUM(G29:G32)</f>
        <v/>
      </c>
      <c r="I34" s="622" t="n"/>
      <c r="J34" s="623" t="n"/>
      <c r="K34" s="631">
        <f>SUM(K29:K32)</f>
        <v/>
      </c>
      <c r="M34" s="914" t="n"/>
      <c r="N34" s="915" t="n"/>
      <c r="O34" s="631">
        <f>SUM(O29:O33)</f>
        <v/>
      </c>
      <c r="Q34" s="627" t="n"/>
      <c r="R34" s="915" t="n"/>
      <c r="S34" s="631">
        <f>SUM(S29:S33)</f>
        <v/>
      </c>
    </row>
    <row r="35" ht="18.75" customHeight="1" s="562">
      <c r="A35" s="643" t="inlineStr">
        <is>
          <t xml:space="preserve">Expenses </t>
        </is>
      </c>
      <c r="B35" s="617" t="n"/>
      <c r="C35" s="618" t="n"/>
      <c r="E35" s="643" t="inlineStr">
        <is>
          <t xml:space="preserve">Expenses </t>
        </is>
      </c>
      <c r="F35" s="617" t="n"/>
      <c r="G35" s="618" t="n"/>
      <c r="I35" s="643" t="inlineStr">
        <is>
          <t xml:space="preserve">Expenses </t>
        </is>
      </c>
      <c r="J35" s="617" t="n"/>
      <c r="K35" s="618" t="n"/>
      <c r="M35" s="643" t="inlineStr">
        <is>
          <t xml:space="preserve">Expenses </t>
        </is>
      </c>
      <c r="N35" s="617" t="n"/>
      <c r="O35" s="618" t="n"/>
      <c r="Q35" s="643" t="inlineStr">
        <is>
          <t xml:space="preserve">Expenses </t>
        </is>
      </c>
      <c r="R35" s="617" t="n"/>
      <c r="S35" s="618" t="n"/>
    </row>
    <row r="36" ht="18" customHeight="1" s="562">
      <c r="A36" s="622" t="inlineStr">
        <is>
          <t>Date:</t>
        </is>
      </c>
      <c r="B36" s="623" t="inlineStr">
        <is>
          <t xml:space="preserve">Expense Name </t>
        </is>
      </c>
      <c r="C36" s="624" t="inlineStr">
        <is>
          <t xml:space="preserve">Amount </t>
        </is>
      </c>
      <c r="E36" s="622" t="inlineStr">
        <is>
          <t>Date:</t>
        </is>
      </c>
      <c r="F36" s="623" t="inlineStr">
        <is>
          <t xml:space="preserve">Expense Name </t>
        </is>
      </c>
      <c r="G36" s="624" t="inlineStr">
        <is>
          <t xml:space="preserve">Amount </t>
        </is>
      </c>
      <c r="I36" s="622" t="inlineStr">
        <is>
          <t>Date:</t>
        </is>
      </c>
      <c r="J36" s="623" t="inlineStr">
        <is>
          <t xml:space="preserve">Expense Name </t>
        </is>
      </c>
      <c r="K36" s="624" t="inlineStr">
        <is>
          <t xml:space="preserve">Amount </t>
        </is>
      </c>
      <c r="M36" s="622" t="inlineStr">
        <is>
          <t>Date:</t>
        </is>
      </c>
      <c r="N36" s="623" t="inlineStr">
        <is>
          <t xml:space="preserve">Expense Name </t>
        </is>
      </c>
      <c r="O36" s="624" t="inlineStr">
        <is>
          <t xml:space="preserve">Amount </t>
        </is>
      </c>
      <c r="Q36" s="622" t="inlineStr">
        <is>
          <t>Date:</t>
        </is>
      </c>
      <c r="R36" s="623" t="inlineStr">
        <is>
          <t xml:space="preserve">Expense Name </t>
        </is>
      </c>
      <c r="S36" s="624" t="inlineStr">
        <is>
          <t xml:space="preserve">Amount </t>
        </is>
      </c>
    </row>
    <row r="37" ht="18" customHeight="1" s="562">
      <c r="A37" s="628" t="n">
        <v>46082</v>
      </c>
      <c r="B37" s="623" t="inlineStr">
        <is>
          <t>Leah</t>
        </is>
      </c>
      <c r="C37" s="624" t="n"/>
      <c r="E37" s="625" t="n">
        <v>46082</v>
      </c>
      <c r="F37" s="623" t="inlineStr">
        <is>
          <t xml:space="preserve">Christina </t>
        </is>
      </c>
      <c r="G37" s="624" t="n"/>
      <c r="I37" s="625" t="n">
        <v>46113</v>
      </c>
      <c r="J37" s="623" t="inlineStr">
        <is>
          <t>Annika</t>
        </is>
      </c>
      <c r="K37" s="624" t="n"/>
      <c r="M37" s="625" t="n"/>
      <c r="N37" s="623" t="inlineStr">
        <is>
          <t xml:space="preserve">Cynthia </t>
        </is>
      </c>
      <c r="O37" s="624" t="n"/>
      <c r="Q37" s="625" t="n"/>
      <c r="R37" s="623" t="inlineStr">
        <is>
          <t xml:space="preserve">Ruth </t>
        </is>
      </c>
      <c r="S37" s="624" t="n"/>
    </row>
    <row r="38" ht="18" customHeight="1" s="562">
      <c r="A38" s="628" t="n"/>
      <c r="B38" s="623" t="n"/>
      <c r="C38" s="624" t="n"/>
      <c r="E38" s="628" t="n">
        <v>46082</v>
      </c>
      <c r="F38" s="623" t="inlineStr">
        <is>
          <t>Ada</t>
        </is>
      </c>
      <c r="G38" s="624" t="n"/>
      <c r="I38" s="628" t="n"/>
      <c r="J38" s="623" t="n"/>
      <c r="K38" s="624" t="n"/>
      <c r="M38" s="628" t="n"/>
      <c r="N38" s="623" t="inlineStr">
        <is>
          <t>Annie</t>
        </is>
      </c>
      <c r="O38" s="624" t="n"/>
      <c r="Q38" s="628" t="n"/>
      <c r="R38" s="623" t="n"/>
      <c r="S38" s="624" t="n"/>
    </row>
    <row r="39" ht="18" customHeight="1" s="562">
      <c r="A39" s="628" t="n"/>
      <c r="B39" s="623" t="n"/>
      <c r="C39" s="624" t="n"/>
      <c r="E39" s="628" t="n"/>
      <c r="F39" s="623" t="n"/>
      <c r="G39" s="624" t="n"/>
      <c r="I39" s="628" t="n"/>
      <c r="J39" s="623" t="n"/>
      <c r="K39" s="624" t="n"/>
      <c r="M39" s="628" t="n"/>
      <c r="N39" s="623" t="n"/>
      <c r="O39" s="624" t="n"/>
      <c r="Q39" s="628" t="n"/>
      <c r="R39" s="623" t="n"/>
      <c r="S39" s="624" t="n"/>
    </row>
    <row r="40" ht="18" customHeight="1" s="562">
      <c r="A40" s="622" t="n"/>
      <c r="B40" s="623" t="n"/>
      <c r="C40" s="624" t="n"/>
      <c r="E40" s="622" t="n"/>
      <c r="F40" s="623" t="n"/>
      <c r="G40" s="624" t="n"/>
      <c r="I40" s="622" t="n"/>
      <c r="J40" s="623" t="n"/>
      <c r="K40" s="624" t="n"/>
      <c r="M40" s="622" t="n"/>
      <c r="N40" s="623" t="n"/>
      <c r="O40" s="624" t="n"/>
      <c r="Q40" s="622" t="n"/>
      <c r="R40" s="623" t="n"/>
      <c r="S40" s="624" t="n"/>
    </row>
    <row r="41" ht="18" customHeight="1" s="562">
      <c r="A41" s="622" t="n"/>
      <c r="B41" s="623" t="n"/>
      <c r="C41" s="624" t="n"/>
      <c r="E41" s="622" t="n"/>
      <c r="F41" s="623" t="n"/>
      <c r="G41" s="624" t="n"/>
      <c r="I41" s="622" t="n"/>
      <c r="J41" s="623" t="n"/>
      <c r="K41" s="624" t="n"/>
      <c r="M41" s="622" t="n"/>
      <c r="N41" s="623" t="n"/>
      <c r="O41" s="624" t="n"/>
      <c r="Q41" s="622" t="n"/>
      <c r="R41" s="623" t="n"/>
      <c r="S41" s="624" t="n"/>
    </row>
    <row r="42" ht="18" customHeight="1" s="562">
      <c r="A42" s="622" t="n"/>
      <c r="B42" s="623" t="n"/>
      <c r="C42" s="624" t="n"/>
      <c r="E42" s="622" t="n"/>
      <c r="F42" s="623" t="n"/>
      <c r="G42" s="624" t="n"/>
      <c r="I42" s="622" t="n"/>
      <c r="J42" s="623" t="n"/>
      <c r="K42" s="624" t="n"/>
      <c r="M42" s="622" t="n"/>
      <c r="N42" s="623" t="n"/>
      <c r="O42" s="624" t="n"/>
      <c r="Q42" s="622" t="n"/>
      <c r="R42" s="623" t="n"/>
      <c r="S42" s="624" t="n"/>
    </row>
    <row r="43" ht="18" customHeight="1" s="562">
      <c r="A43" s="622" t="n"/>
      <c r="B43" s="623" t="n"/>
      <c r="C43" s="624" t="n"/>
      <c r="E43" s="622" t="n"/>
      <c r="F43" s="623" t="n"/>
      <c r="G43" s="624" t="n"/>
      <c r="I43" s="622" t="n"/>
      <c r="J43" s="623" t="n"/>
      <c r="K43" s="624" t="n"/>
      <c r="M43" s="622" t="n"/>
      <c r="N43" s="623" t="n"/>
      <c r="O43" s="624" t="n"/>
      <c r="Q43" s="622" t="n"/>
      <c r="R43" s="623" t="n"/>
      <c r="S43" s="624" t="n"/>
    </row>
    <row r="44" ht="18" customHeight="1" s="562">
      <c r="A44" s="622" t="n"/>
      <c r="B44" s="623" t="n"/>
      <c r="C44" s="624" t="n"/>
      <c r="E44" s="622" t="n"/>
      <c r="F44" s="623" t="n"/>
      <c r="G44" s="624" t="n"/>
      <c r="I44" s="622" t="n"/>
      <c r="J44" s="623" t="n"/>
      <c r="K44" s="624" t="n"/>
      <c r="M44" s="622" t="n"/>
      <c r="N44" s="623" t="n"/>
      <c r="O44" s="624" t="n"/>
      <c r="Q44" s="622" t="n"/>
      <c r="R44" s="623" t="n"/>
      <c r="S44" s="624" t="n"/>
    </row>
    <row r="45" ht="18" customHeight="1" s="562">
      <c r="A45" s="622" t="n"/>
      <c r="B45" s="623" t="n"/>
      <c r="C45" s="624" t="n"/>
      <c r="E45" s="622" t="n"/>
      <c r="F45" s="623" t="n"/>
      <c r="G45" s="624" t="n"/>
      <c r="I45" s="622" t="n"/>
      <c r="J45" s="623" t="n"/>
      <c r="K45" s="624" t="n"/>
      <c r="M45" s="622" t="n"/>
      <c r="N45" s="623" t="n"/>
      <c r="O45" s="624" t="n"/>
      <c r="Q45" s="622" t="n"/>
      <c r="R45" s="623" t="n"/>
      <c r="S45" s="624" t="n"/>
    </row>
    <row r="46" ht="18" customHeight="1" s="562">
      <c r="A46" s="622" t="n"/>
      <c r="B46" s="623" t="n"/>
      <c r="C46" s="624" t="n"/>
      <c r="E46" s="622" t="n"/>
      <c r="F46" s="623" t="n"/>
      <c r="G46" s="624" t="n"/>
      <c r="I46" s="622" t="n"/>
      <c r="J46" s="623" t="n"/>
      <c r="K46" s="624" t="n"/>
      <c r="M46" s="622" t="n"/>
      <c r="N46" s="623" t="n"/>
      <c r="O46" s="624" t="n"/>
      <c r="Q46" s="622" t="n"/>
      <c r="R46" s="623" t="n"/>
      <c r="S46" s="624" t="n"/>
    </row>
    <row r="47" ht="18.75" customHeight="1" s="562">
      <c r="A47" s="622" t="n"/>
      <c r="B47" s="623" t="n"/>
      <c r="C47" s="624" t="n"/>
      <c r="E47" s="622" t="n"/>
      <c r="F47" s="623" t="n"/>
      <c r="G47" s="624" t="n"/>
      <c r="I47" s="622" t="n"/>
      <c r="J47" s="623" t="n"/>
      <c r="K47" s="624" t="n"/>
      <c r="M47" s="622" t="n"/>
      <c r="N47" s="623" t="n"/>
      <c r="O47" s="624" t="n"/>
      <c r="Q47" s="622" t="n"/>
      <c r="R47" s="623" t="n"/>
      <c r="S47" s="624" t="n"/>
    </row>
    <row r="48" ht="18.75" customHeight="1" s="562">
      <c r="A48" s="910" t="inlineStr">
        <is>
          <t xml:space="preserve">Total Expense </t>
        </is>
      </c>
      <c r="B48" s="911" t="n"/>
      <c r="C48" s="645" t="n"/>
      <c r="E48" s="910" t="inlineStr">
        <is>
          <t xml:space="preserve">Total Expense </t>
        </is>
      </c>
      <c r="F48" s="911" t="n"/>
      <c r="G48" s="645" t="n"/>
      <c r="I48" s="910" t="inlineStr">
        <is>
          <t xml:space="preserve">Total Expense </t>
        </is>
      </c>
      <c r="J48" s="911" t="n"/>
      <c r="K48" s="645" t="n"/>
      <c r="M48" s="910" t="inlineStr">
        <is>
          <t xml:space="preserve">Total Expense </t>
        </is>
      </c>
      <c r="N48" s="911" t="n"/>
      <c r="O48" s="645" t="n"/>
      <c r="Q48" s="910" t="inlineStr">
        <is>
          <t xml:space="preserve">Total Expense </t>
        </is>
      </c>
      <c r="R48" s="911" t="n"/>
      <c r="S48" s="645" t="n"/>
    </row>
    <row r="49" ht="18.75" customHeight="1" s="562">
      <c r="A49" s="646" t="inlineStr">
        <is>
          <t xml:space="preserve">Income - Expense </t>
        </is>
      </c>
      <c r="B49" s="637" t="n"/>
      <c r="C49" s="773" t="n"/>
      <c r="E49" s="646" t="inlineStr">
        <is>
          <t xml:space="preserve">Income - Expense </t>
        </is>
      </c>
      <c r="F49" s="637" t="n"/>
      <c r="G49" s="773" t="n"/>
      <c r="I49" s="646" t="inlineStr">
        <is>
          <t xml:space="preserve">Income - Expense </t>
        </is>
      </c>
      <c r="J49" s="637" t="n"/>
      <c r="K49" s="773" t="n"/>
      <c r="M49" s="646" t="inlineStr">
        <is>
          <t xml:space="preserve">Income - Expense </t>
        </is>
      </c>
      <c r="N49" s="637" t="n"/>
      <c r="O49" s="773" t="n"/>
      <c r="Q49" s="646" t="inlineStr">
        <is>
          <t xml:space="preserve">Income - Expense </t>
        </is>
      </c>
      <c r="R49" s="637" t="n"/>
      <c r="S49" s="773" t="n"/>
    </row>
    <row r="50" ht="18.75" customHeight="1" s="562">
      <c r="M50" s="771" t="n"/>
      <c r="N50" s="771" t="n"/>
      <c r="O50" s="768" t="n"/>
      <c r="Q50" s="771" t="n"/>
      <c r="R50" s="771" t="n"/>
      <c r="S50" s="768" t="n"/>
    </row>
    <row r="51" ht="18.75" customHeight="1" s="562">
      <c r="A51" s="1119" t="inlineStr">
        <is>
          <t>De Waal- weekly</t>
        </is>
      </c>
      <c r="B51" s="617" t="n"/>
      <c r="C51" s="637" t="n"/>
      <c r="E51" s="1119" t="inlineStr">
        <is>
          <t>O'Neill</t>
        </is>
      </c>
      <c r="F51" s="617" t="n"/>
      <c r="G51" s="637" t="n"/>
      <c r="I51" s="1029" t="inlineStr">
        <is>
          <t>Scroope</t>
        </is>
      </c>
      <c r="J51" s="617" t="n"/>
      <c r="K51" s="637" t="n"/>
      <c r="M51" s="1029" t="inlineStr">
        <is>
          <t xml:space="preserve">Fisher </t>
        </is>
      </c>
      <c r="N51" s="617" t="n"/>
      <c r="O51" s="637" t="n"/>
      <c r="Q51" s="1029" t="inlineStr">
        <is>
          <t xml:space="preserve">Anton Steyn/ Emce </t>
        </is>
      </c>
      <c r="R51" s="617" t="n"/>
      <c r="S51" s="637" t="n"/>
    </row>
    <row r="52" ht="18.75" customHeight="1" s="562">
      <c r="A52" s="619" t="inlineStr">
        <is>
          <t xml:space="preserve">Income </t>
        </is>
      </c>
      <c r="B52" s="617" t="n"/>
      <c r="C52" s="618" t="n"/>
      <c r="E52" s="619" t="inlineStr">
        <is>
          <t xml:space="preserve">Income </t>
        </is>
      </c>
      <c r="F52" s="617" t="n"/>
      <c r="G52" s="618" t="n"/>
      <c r="I52" s="1120" t="inlineStr">
        <is>
          <t xml:space="preserve">Income </t>
        </is>
      </c>
      <c r="J52" s="1121" t="n"/>
      <c r="K52" s="1122" t="n"/>
      <c r="M52" s="619" t="inlineStr">
        <is>
          <t xml:space="preserve">Income </t>
        </is>
      </c>
      <c r="N52" s="617" t="n"/>
      <c r="O52" s="618" t="n"/>
      <c r="Q52" s="619" t="inlineStr">
        <is>
          <t xml:space="preserve">Income </t>
        </is>
      </c>
      <c r="R52" s="617" t="n"/>
      <c r="S52" s="618" t="n"/>
    </row>
    <row r="53" ht="18" customHeight="1" s="562">
      <c r="A53" s="622" t="inlineStr">
        <is>
          <t>Date:</t>
        </is>
      </c>
      <c r="B53" s="623" t="n"/>
      <c r="C53" s="624" t="inlineStr">
        <is>
          <t xml:space="preserve">Payment </t>
        </is>
      </c>
      <c r="E53" s="622" t="inlineStr">
        <is>
          <t>Date:</t>
        </is>
      </c>
      <c r="F53" s="623" t="n"/>
      <c r="G53" s="624" t="inlineStr">
        <is>
          <t xml:space="preserve">Payment </t>
        </is>
      </c>
      <c r="I53" s="1123" t="inlineStr">
        <is>
          <t>Date:</t>
        </is>
      </c>
      <c r="J53" s="1124" t="n"/>
      <c r="K53" s="1125" t="inlineStr">
        <is>
          <t xml:space="preserve">Payment </t>
        </is>
      </c>
      <c r="M53" s="622" t="inlineStr">
        <is>
          <t>Date:</t>
        </is>
      </c>
      <c r="N53" s="623" t="n"/>
      <c r="O53" s="624" t="inlineStr">
        <is>
          <t xml:space="preserve">Payment </t>
        </is>
      </c>
      <c r="Q53" s="622" t="inlineStr">
        <is>
          <t>Date:</t>
        </is>
      </c>
      <c r="R53" s="623" t="n"/>
      <c r="S53" s="624" t="inlineStr">
        <is>
          <t xml:space="preserve">Payment </t>
        </is>
      </c>
    </row>
    <row r="54" ht="18" customHeight="1" s="562">
      <c r="A54" s="862" t="n">
        <v>46113</v>
      </c>
      <c r="B54" s="863" t="inlineStr">
        <is>
          <t xml:space="preserve">Invoiced </t>
        </is>
      </c>
      <c r="C54" s="864" t="n">
        <v>24700</v>
      </c>
      <c r="E54" s="862" t="n">
        <v>46113</v>
      </c>
      <c r="F54" s="863" t="inlineStr">
        <is>
          <t xml:space="preserve">invoiced </t>
        </is>
      </c>
      <c r="G54" s="627" t="n">
        <v>45000</v>
      </c>
      <c r="I54" s="862" t="n">
        <v>46113</v>
      </c>
      <c r="J54" s="863" t="inlineStr">
        <is>
          <t xml:space="preserve">Invoiced </t>
        </is>
      </c>
      <c r="K54" s="864" t="n">
        <v>3350</v>
      </c>
      <c r="M54" s="862" t="n">
        <v>46113</v>
      </c>
      <c r="N54" s="863" t="inlineStr">
        <is>
          <t xml:space="preserve">invoiced </t>
        </is>
      </c>
      <c r="O54" s="864" t="n">
        <v>5500</v>
      </c>
      <c r="Q54" s="862" t="n">
        <v>46113</v>
      </c>
      <c r="R54" s="863" t="inlineStr">
        <is>
          <t xml:space="preserve">invoiced </t>
        </is>
      </c>
      <c r="S54" s="864" t="n">
        <v>3800</v>
      </c>
    </row>
    <row r="55" ht="18" customHeight="1" s="562">
      <c r="A55" s="862" t="n"/>
      <c r="B55" s="863" t="n"/>
      <c r="C55" s="627" t="n"/>
      <c r="E55" s="862" t="n"/>
      <c r="F55" s="863" t="n"/>
      <c r="G55" s="627" t="n"/>
      <c r="I55" s="862" t="n"/>
      <c r="J55" s="863" t="n"/>
      <c r="K55" s="627" t="n"/>
      <c r="M55" s="627" t="n"/>
      <c r="N55" s="627" t="n"/>
      <c r="O55" s="627" t="n"/>
      <c r="Q55" s="627" t="n"/>
      <c r="R55" s="627" t="n"/>
      <c r="S55" s="627" t="n"/>
    </row>
    <row r="56" ht="18" customHeight="1" s="562">
      <c r="A56" s="862" t="n"/>
      <c r="B56" s="863" t="n"/>
      <c r="C56" s="627" t="n"/>
      <c r="E56" s="862" t="n"/>
      <c r="F56" s="863" t="n"/>
      <c r="G56" s="627" t="n"/>
      <c r="I56" s="862" t="n"/>
      <c r="J56" s="627" t="n"/>
      <c r="K56" s="627" t="n"/>
      <c r="M56" s="627" t="n"/>
      <c r="N56" s="627" t="n"/>
      <c r="O56" s="627" t="n"/>
      <c r="Q56" s="627" t="n"/>
      <c r="R56" s="627" t="n"/>
      <c r="S56" s="627" t="n"/>
    </row>
    <row r="57" ht="18" customHeight="1" s="562">
      <c r="A57" s="862" t="n"/>
      <c r="B57" s="863" t="n"/>
      <c r="C57" s="627" t="n"/>
      <c r="E57" s="627" t="n"/>
      <c r="F57" s="627" t="n"/>
      <c r="G57" s="627" t="n"/>
      <c r="I57" s="862" t="n"/>
      <c r="J57" s="627" t="n"/>
      <c r="K57" s="627" t="n"/>
      <c r="M57" s="627" t="n"/>
      <c r="N57" s="627" t="n"/>
      <c r="O57" s="627" t="n"/>
      <c r="Q57" s="627" t="n"/>
      <c r="R57" s="627" t="n"/>
      <c r="S57" s="627" t="n"/>
    </row>
    <row r="58" ht="18.75" customHeight="1" s="562">
      <c r="A58" s="862" t="n"/>
      <c r="B58" s="863" t="n"/>
      <c r="C58" s="639" t="n"/>
      <c r="E58" s="627" t="n"/>
      <c r="F58" s="627" t="n"/>
      <c r="G58" s="639" t="n"/>
      <c r="I58" s="914" t="n"/>
      <c r="J58" s="914" t="n"/>
      <c r="K58" s="1126" t="n"/>
      <c r="M58" s="627" t="n"/>
      <c r="N58" s="627" t="n"/>
      <c r="O58" s="639" t="n"/>
      <c r="Q58" s="627" t="n"/>
      <c r="R58" s="627" t="n"/>
      <c r="S58" s="639" t="n"/>
    </row>
    <row r="59" ht="18.75" customHeight="1" s="562">
      <c r="A59" s="914" t="n"/>
      <c r="B59" s="915" t="n"/>
      <c r="C59" s="631">
        <f>SUM(C54:C58)</f>
        <v/>
      </c>
      <c r="E59" s="627" t="n"/>
      <c r="F59" s="915" t="n"/>
      <c r="G59" s="631">
        <f>SUM(G54:G58)</f>
        <v/>
      </c>
      <c r="I59" s="1127" t="n"/>
      <c r="J59" s="1123" t="n"/>
      <c r="K59" s="1128">
        <f>SUM(K54:K58)</f>
        <v/>
      </c>
      <c r="M59" s="627" t="n"/>
      <c r="N59" s="915" t="n"/>
      <c r="O59" s="631">
        <f>SUM(O54:O58)</f>
        <v/>
      </c>
      <c r="Q59" s="627" t="n"/>
      <c r="R59" s="915" t="n"/>
      <c r="S59" s="631">
        <f>SUM(S54:S58)</f>
        <v/>
      </c>
    </row>
    <row r="60" ht="18.75" customHeight="1" s="562">
      <c r="A60" s="643" t="inlineStr">
        <is>
          <t xml:space="preserve">Expenses </t>
        </is>
      </c>
      <c r="B60" s="617" t="n"/>
      <c r="C60" s="618" t="n"/>
      <c r="E60" s="643" t="inlineStr">
        <is>
          <t xml:space="preserve">Expenses </t>
        </is>
      </c>
      <c r="F60" s="617" t="n"/>
      <c r="G60" s="618" t="n"/>
      <c r="I60" s="1129" t="inlineStr">
        <is>
          <t xml:space="preserve">Expenses </t>
        </is>
      </c>
      <c r="J60" s="617" t="n"/>
      <c r="K60" s="637" t="n"/>
      <c r="M60" s="633" t="inlineStr">
        <is>
          <t xml:space="preserve">Expenses </t>
        </is>
      </c>
      <c r="N60" s="617" t="n"/>
      <c r="O60" s="618" t="n"/>
      <c r="Q60" s="633" t="inlineStr">
        <is>
          <t xml:space="preserve">Expenses </t>
        </is>
      </c>
      <c r="R60" s="617" t="n"/>
      <c r="S60" s="618" t="n"/>
    </row>
    <row r="61" ht="18" customHeight="1" s="562">
      <c r="A61" s="622" t="inlineStr">
        <is>
          <t>Date:</t>
        </is>
      </c>
      <c r="B61" s="623" t="inlineStr">
        <is>
          <t xml:space="preserve">Expense Name </t>
        </is>
      </c>
      <c r="C61" s="624" t="inlineStr">
        <is>
          <t xml:space="preserve">Amount </t>
        </is>
      </c>
      <c r="E61" s="622" t="inlineStr">
        <is>
          <t>Date:</t>
        </is>
      </c>
      <c r="F61" s="623" t="inlineStr">
        <is>
          <t xml:space="preserve">Expense Name </t>
        </is>
      </c>
      <c r="G61" s="624" t="inlineStr">
        <is>
          <t xml:space="preserve">Amount </t>
        </is>
      </c>
      <c r="I61" s="622" t="inlineStr">
        <is>
          <t>Date:</t>
        </is>
      </c>
      <c r="J61" s="623" t="inlineStr">
        <is>
          <t xml:space="preserve">Expense Name </t>
        </is>
      </c>
      <c r="K61" s="624" t="inlineStr">
        <is>
          <t xml:space="preserve">Amount </t>
        </is>
      </c>
      <c r="M61" s="622" t="inlineStr">
        <is>
          <t>Date:</t>
        </is>
      </c>
      <c r="N61" s="623" t="inlineStr">
        <is>
          <t xml:space="preserve">Expense Name </t>
        </is>
      </c>
      <c r="O61" s="624" t="inlineStr">
        <is>
          <t xml:space="preserve">Amount </t>
        </is>
      </c>
      <c r="Q61" s="622" t="inlineStr">
        <is>
          <t>Date:</t>
        </is>
      </c>
      <c r="R61" s="623" t="inlineStr">
        <is>
          <t xml:space="preserve">Expense Name </t>
        </is>
      </c>
      <c r="S61" s="624" t="inlineStr">
        <is>
          <t xml:space="preserve">Amount </t>
        </is>
      </c>
    </row>
    <row r="62" ht="18" customHeight="1" s="562">
      <c r="A62" s="625" t="n"/>
      <c r="B62" s="623" t="inlineStr">
        <is>
          <t>Merriam</t>
        </is>
      </c>
      <c r="C62" s="624" t="n"/>
      <c r="E62" s="625" t="n"/>
      <c r="F62" s="623" t="inlineStr">
        <is>
          <t xml:space="preserve">Nipho </t>
        </is>
      </c>
      <c r="G62" s="624" t="n"/>
      <c r="I62" s="628" t="n"/>
      <c r="J62" s="623" t="n"/>
      <c r="K62" s="624" t="n"/>
      <c r="M62" s="625" t="n"/>
      <c r="N62" s="623" t="n"/>
      <c r="O62" s="624" t="n"/>
      <c r="Q62" s="625" t="n"/>
      <c r="R62" s="623" t="inlineStr">
        <is>
          <t xml:space="preserve">Emily </t>
        </is>
      </c>
      <c r="S62" s="624" t="n"/>
    </row>
    <row r="63" ht="18" customHeight="1" s="562">
      <c r="A63" s="628" t="n"/>
      <c r="B63" s="623" t="inlineStr">
        <is>
          <t>Beauty</t>
        </is>
      </c>
      <c r="C63" s="624" t="n"/>
      <c r="E63" s="628" t="n"/>
      <c r="F63" s="623" t="inlineStr">
        <is>
          <t xml:space="preserve">Emilia </t>
        </is>
      </c>
      <c r="G63" s="624" t="n"/>
      <c r="I63" s="628" t="n"/>
      <c r="J63" s="623" t="n"/>
      <c r="K63" s="624" t="n"/>
      <c r="M63" s="628" t="n"/>
      <c r="N63" s="623" t="n"/>
      <c r="O63" s="624" t="n"/>
      <c r="Q63" s="628" t="n"/>
      <c r="R63" s="623" t="n"/>
      <c r="S63" s="624" t="n"/>
    </row>
    <row r="64" ht="18" customHeight="1" s="562">
      <c r="A64" s="628" t="n"/>
      <c r="B64" s="623" t="n"/>
      <c r="C64" s="624" t="n"/>
      <c r="E64" s="628" t="n"/>
      <c r="F64" s="623" t="inlineStr">
        <is>
          <t>Siphe</t>
        </is>
      </c>
      <c r="G64" s="624" t="n"/>
      <c r="I64" s="622" t="n"/>
      <c r="J64" s="623" t="n"/>
      <c r="K64" s="624" t="n"/>
      <c r="M64" s="628" t="n"/>
      <c r="N64" s="623" t="n"/>
      <c r="O64" s="624" t="n"/>
      <c r="Q64" s="628" t="n"/>
      <c r="R64" s="623" t="n"/>
      <c r="S64" s="624" t="n"/>
    </row>
    <row r="65" ht="18" customHeight="1" s="562">
      <c r="A65" s="622" t="n"/>
      <c r="B65" s="623" t="n"/>
      <c r="C65" s="624" t="n"/>
      <c r="E65" s="622" t="n"/>
      <c r="F65" s="623" t="n"/>
      <c r="G65" s="624" t="n"/>
      <c r="I65" s="622" t="n"/>
      <c r="J65" s="623" t="n"/>
      <c r="K65" s="624" t="n"/>
      <c r="M65" s="622" t="n"/>
      <c r="N65" s="623" t="n"/>
      <c r="O65" s="624" t="n"/>
      <c r="Q65" s="622" t="n"/>
      <c r="R65" s="623" t="n"/>
      <c r="S65" s="624" t="n"/>
    </row>
    <row r="66" ht="18" customHeight="1" s="562">
      <c r="A66" s="622" t="n"/>
      <c r="B66" s="623" t="n"/>
      <c r="C66" s="624" t="n"/>
      <c r="E66" s="622" t="n"/>
      <c r="F66" s="623" t="n"/>
      <c r="G66" s="624" t="n"/>
      <c r="I66" s="622" t="n"/>
      <c r="J66" s="623" t="n"/>
      <c r="K66" s="624" t="n"/>
      <c r="M66" s="622" t="n"/>
      <c r="N66" s="623" t="n"/>
      <c r="O66" s="624" t="n"/>
      <c r="Q66" s="622" t="n"/>
      <c r="R66" s="623" t="n"/>
      <c r="S66" s="624" t="n"/>
    </row>
    <row r="67" ht="18" customHeight="1" s="562">
      <c r="A67" s="622" t="n"/>
      <c r="B67" s="623" t="n"/>
      <c r="C67" s="624" t="n"/>
      <c r="E67" s="622" t="n"/>
      <c r="F67" s="623" t="n"/>
      <c r="G67" s="624" t="n"/>
      <c r="I67" s="622" t="n"/>
      <c r="J67" s="623" t="n"/>
      <c r="K67" s="624" t="n"/>
      <c r="M67" s="622" t="n"/>
      <c r="N67" s="623" t="n"/>
      <c r="O67" s="624" t="n"/>
      <c r="Q67" s="622" t="n"/>
      <c r="R67" s="623" t="n"/>
      <c r="S67" s="624" t="n"/>
    </row>
    <row r="68" ht="18" customHeight="1" s="562">
      <c r="A68" s="622" t="n"/>
      <c r="B68" s="623" t="n"/>
      <c r="C68" s="624" t="n"/>
      <c r="E68" s="622" t="n"/>
      <c r="F68" s="623" t="n"/>
      <c r="G68" s="624" t="n"/>
      <c r="I68" s="622" t="n"/>
      <c r="J68" s="623" t="n"/>
      <c r="K68" s="624" t="n"/>
      <c r="M68" s="622" t="n"/>
      <c r="N68" s="623" t="n"/>
      <c r="O68" s="624" t="n"/>
      <c r="Q68" s="622" t="n"/>
      <c r="R68" s="623" t="n"/>
      <c r="S68" s="624" t="n"/>
    </row>
    <row r="69" ht="18" customHeight="1" s="562">
      <c r="A69" s="622" t="n"/>
      <c r="B69" s="623" t="n"/>
      <c r="C69" s="624" t="n"/>
      <c r="E69" s="622" t="n"/>
      <c r="F69" s="623" t="n"/>
      <c r="G69" s="624" t="n"/>
      <c r="I69" s="622" t="n"/>
      <c r="J69" s="623" t="n"/>
      <c r="K69" s="624" t="n"/>
      <c r="M69" s="622" t="n"/>
      <c r="N69" s="623" t="n"/>
      <c r="O69" s="624" t="n"/>
      <c r="Q69" s="622" t="n"/>
      <c r="R69" s="623" t="n"/>
      <c r="S69" s="624" t="n"/>
    </row>
    <row r="70" ht="18" customHeight="1" s="562">
      <c r="A70" s="622" t="n"/>
      <c r="B70" s="623" t="n"/>
      <c r="C70" s="624" t="n"/>
      <c r="E70" s="622" t="n"/>
      <c r="F70" s="623" t="n"/>
      <c r="G70" s="624" t="n"/>
      <c r="I70" s="622" t="n"/>
      <c r="J70" s="623" t="n"/>
      <c r="K70" s="624" t="n"/>
      <c r="M70" s="622" t="n"/>
      <c r="N70" s="623" t="n"/>
      <c r="O70" s="624" t="n"/>
      <c r="Q70" s="622" t="n"/>
      <c r="R70" s="623" t="n"/>
      <c r="S70" s="624" t="n"/>
    </row>
    <row r="71" ht="18" customHeight="1" s="562">
      <c r="A71" s="622" t="n"/>
      <c r="B71" s="623" t="n"/>
      <c r="C71" s="624" t="n"/>
      <c r="E71" s="622" t="n"/>
      <c r="F71" s="623" t="n"/>
      <c r="G71" s="624" t="n"/>
      <c r="I71" s="622" t="n"/>
      <c r="J71" s="623" t="n"/>
      <c r="K71" s="624" t="n"/>
      <c r="M71" s="622" t="n"/>
      <c r="N71" s="623" t="n"/>
      <c r="O71" s="624" t="n"/>
      <c r="Q71" s="622" t="n"/>
      <c r="R71" s="623" t="n"/>
      <c r="S71" s="624" t="n"/>
    </row>
    <row r="72" ht="18.75" customHeight="1" s="562">
      <c r="A72" s="622" t="n"/>
      <c r="B72" s="623" t="n"/>
      <c r="C72" s="624" t="n"/>
      <c r="E72" s="622" t="n"/>
      <c r="F72" s="623" t="n"/>
      <c r="G72" s="624" t="n"/>
      <c r="I72" s="622" t="n"/>
      <c r="J72" s="623" t="n"/>
      <c r="K72" s="624" t="n"/>
      <c r="M72" s="622" t="n"/>
      <c r="N72" s="623" t="n"/>
      <c r="O72" s="624" t="n"/>
      <c r="Q72" s="622" t="n"/>
      <c r="R72" s="623" t="n"/>
      <c r="S72" s="624" t="n"/>
    </row>
    <row r="73" ht="18.75" customHeight="1" s="562">
      <c r="A73" s="910" t="inlineStr">
        <is>
          <t xml:space="preserve">Total Expense </t>
        </is>
      </c>
      <c r="B73" s="911" t="n"/>
      <c r="C73" s="645" t="n"/>
      <c r="E73" s="910" t="inlineStr">
        <is>
          <t xml:space="preserve">Total Expense </t>
        </is>
      </c>
      <c r="F73" s="911" t="n"/>
      <c r="G73" s="645" t="n"/>
      <c r="I73" s="644" t="inlineStr">
        <is>
          <t xml:space="preserve">Total Expense </t>
        </is>
      </c>
      <c r="J73" s="637" t="n"/>
      <c r="K73" s="645">
        <f>SUM(K61:K64)</f>
        <v/>
      </c>
      <c r="M73" s="910" t="inlineStr">
        <is>
          <t xml:space="preserve">Total Expense </t>
        </is>
      </c>
      <c r="N73" s="911" t="n"/>
      <c r="O73" s="645" t="n"/>
      <c r="Q73" s="910" t="inlineStr">
        <is>
          <t xml:space="preserve">Total Expense </t>
        </is>
      </c>
      <c r="R73" s="911" t="n"/>
      <c r="S73" s="645" t="n"/>
    </row>
    <row r="74" ht="18.75" customHeight="1" s="562">
      <c r="A74" s="646" t="inlineStr">
        <is>
          <t xml:space="preserve">Income - Expense </t>
        </is>
      </c>
      <c r="B74" s="637" t="n"/>
      <c r="C74" s="773" t="n"/>
      <c r="E74" s="646" t="inlineStr">
        <is>
          <t xml:space="preserve">Income - Expense </t>
        </is>
      </c>
      <c r="F74" s="637" t="n"/>
      <c r="G74" s="773" t="n"/>
      <c r="I74" s="646" t="inlineStr">
        <is>
          <t xml:space="preserve">Income - Expense </t>
        </is>
      </c>
      <c r="J74" s="637" t="n"/>
      <c r="K74" s="647">
        <f>MIN(K58-K73)</f>
        <v/>
      </c>
      <c r="M74" s="646" t="inlineStr">
        <is>
          <t xml:space="preserve">Income - Expense </t>
        </is>
      </c>
      <c r="N74" s="637" t="n"/>
      <c r="O74" s="773" t="n"/>
      <c r="Q74" s="646" t="inlineStr">
        <is>
          <t xml:space="preserve">Income - Expense </t>
        </is>
      </c>
      <c r="R74" s="637" t="n"/>
      <c r="S74" s="773" t="n"/>
    </row>
    <row r="75" ht="18.75" customHeight="1" s="562">
      <c r="A75" s="771" t="n"/>
      <c r="B75" s="771" t="n"/>
      <c r="C75" s="768" t="n"/>
      <c r="E75" s="771" t="n"/>
      <c r="F75" s="771" t="n"/>
      <c r="G75" s="768" t="n"/>
      <c r="M75" s="771" t="n"/>
      <c r="N75" s="771" t="n"/>
      <c r="O75" s="768" t="n"/>
    </row>
    <row r="76" ht="18.75" customHeight="1" s="562">
      <c r="A76" s="1030" t="inlineStr">
        <is>
          <t>Angela/ Dimitri Paoadopoulos</t>
        </is>
      </c>
      <c r="B76" s="617" t="n"/>
      <c r="C76" s="637" t="n"/>
      <c r="E76" s="1030" t="inlineStr">
        <is>
          <t>Maria Burgum</t>
        </is>
      </c>
      <c r="F76" s="617" t="n"/>
      <c r="G76" s="637" t="n"/>
    </row>
    <row r="77" ht="18.75" customHeight="1" s="562">
      <c r="A77" s="619" t="inlineStr">
        <is>
          <t xml:space="preserve">Income </t>
        </is>
      </c>
      <c r="B77" s="617" t="n"/>
      <c r="C77" s="618" t="n"/>
      <c r="E77" s="619" t="inlineStr">
        <is>
          <t xml:space="preserve">Income </t>
        </is>
      </c>
      <c r="F77" s="617" t="n"/>
      <c r="G77" s="618" t="n"/>
    </row>
    <row r="78" ht="18" customHeight="1" s="562">
      <c r="A78" s="622" t="inlineStr">
        <is>
          <t>Date:</t>
        </is>
      </c>
      <c r="B78" s="623" t="n"/>
      <c r="C78" s="624" t="inlineStr">
        <is>
          <t xml:space="preserve">Payment </t>
        </is>
      </c>
      <c r="E78" s="622" t="inlineStr">
        <is>
          <t>Date:</t>
        </is>
      </c>
      <c r="F78" s="623" t="n"/>
      <c r="G78" s="624" t="inlineStr">
        <is>
          <t xml:space="preserve">Payment </t>
        </is>
      </c>
    </row>
    <row r="79" ht="18" customHeight="1" s="562">
      <c r="A79" s="628" t="n">
        <v>46113</v>
      </c>
      <c r="B79" s="766" t="inlineStr">
        <is>
          <t xml:space="preserve">Invoiced </t>
        </is>
      </c>
      <c r="C79" s="864" t="n">
        <v>6650</v>
      </c>
      <c r="E79" s="862" t="n">
        <v>46113</v>
      </c>
      <c r="F79" s="863" t="inlineStr">
        <is>
          <t xml:space="preserve">invoiced </t>
        </is>
      </c>
      <c r="G79" s="864" t="n">
        <v>2250</v>
      </c>
    </row>
    <row r="80" ht="18" customHeight="1" s="562">
      <c r="A80" s="628" t="n">
        <v>46118</v>
      </c>
      <c r="B80" s="766" t="n"/>
      <c r="C80" s="627" t="n"/>
      <c r="E80" s="862" t="n"/>
      <c r="F80" s="863" t="n"/>
      <c r="G80" s="627" t="n"/>
    </row>
    <row r="81" ht="18" customHeight="1" s="562">
      <c r="A81" s="628" t="n">
        <v>13</v>
      </c>
      <c r="B81" s="766" t="n"/>
      <c r="C81" s="627" t="n"/>
      <c r="E81" s="862" t="n"/>
      <c r="F81" s="863" t="n"/>
      <c r="G81" s="627" t="n"/>
    </row>
    <row r="82" ht="18" customHeight="1" s="562">
      <c r="A82" s="628" t="n">
        <v>46132</v>
      </c>
      <c r="B82" s="766" t="n"/>
      <c r="C82" s="627" t="n"/>
      <c r="E82" s="862" t="n"/>
      <c r="F82" s="627" t="n"/>
      <c r="G82" s="627" t="n"/>
    </row>
    <row r="83" ht="18.75" customHeight="1" s="562">
      <c r="A83" s="628" t="n">
        <v>46139</v>
      </c>
      <c r="B83" s="766" t="n"/>
      <c r="C83" s="627" t="n"/>
      <c r="E83" s="862" t="n"/>
      <c r="F83" s="627" t="n"/>
      <c r="G83" s="639" t="n"/>
    </row>
    <row r="84" ht="18.75" customHeight="1" s="562">
      <c r="A84" s="622" t="n"/>
      <c r="B84" s="623" t="n"/>
      <c r="C84" s="630">
        <f>SUM(C79:C83)</f>
        <v/>
      </c>
      <c r="E84" s="914" t="n"/>
      <c r="F84" s="915" t="n"/>
      <c r="G84" s="631">
        <f>SUM(G79:G83)</f>
        <v/>
      </c>
    </row>
    <row r="85" ht="18.75" customHeight="1" s="562">
      <c r="A85" s="1130" t="inlineStr">
        <is>
          <t xml:space="preserve">Expenses </t>
        </is>
      </c>
      <c r="B85" s="617" t="n"/>
      <c r="C85" s="618" t="n"/>
      <c r="E85" s="1130" t="inlineStr">
        <is>
          <t xml:space="preserve">Expenses </t>
        </is>
      </c>
      <c r="F85" s="617" t="n"/>
      <c r="G85" s="618" t="n"/>
    </row>
    <row r="86" ht="18" customHeight="1" s="562">
      <c r="A86" s="622" t="inlineStr">
        <is>
          <t>Date:</t>
        </is>
      </c>
      <c r="B86" s="623" t="inlineStr">
        <is>
          <t xml:space="preserve">Expense Name </t>
        </is>
      </c>
      <c r="C86" s="624" t="inlineStr">
        <is>
          <t xml:space="preserve">Amount </t>
        </is>
      </c>
      <c r="E86" s="622" t="inlineStr">
        <is>
          <t>Date:</t>
        </is>
      </c>
      <c r="F86" s="623" t="inlineStr">
        <is>
          <t xml:space="preserve">Expense Name </t>
        </is>
      </c>
      <c r="G86" s="624" t="inlineStr">
        <is>
          <t xml:space="preserve">Amount </t>
        </is>
      </c>
    </row>
    <row r="87" ht="18" customHeight="1" s="562">
      <c r="A87" s="625" t="n">
        <v>46082</v>
      </c>
      <c r="B87" s="623" t="inlineStr">
        <is>
          <t xml:space="preserve">Fortunate </t>
        </is>
      </c>
      <c r="C87" s="624" t="n"/>
      <c r="E87" s="625" t="n"/>
      <c r="F87" s="623" t="inlineStr">
        <is>
          <t>Syliva</t>
        </is>
      </c>
      <c r="G87" s="624" t="n"/>
    </row>
    <row r="88" ht="18" customHeight="1" s="562">
      <c r="A88" s="628" t="n"/>
      <c r="B88" s="623" t="inlineStr">
        <is>
          <t>Musa</t>
        </is>
      </c>
      <c r="C88" s="624" t="n"/>
      <c r="E88" s="628" t="n"/>
      <c r="F88" s="623" t="n"/>
      <c r="G88" s="624" t="n"/>
    </row>
    <row r="89" ht="18" customHeight="1" s="562">
      <c r="A89" s="628" t="n"/>
      <c r="B89" s="623" t="n"/>
      <c r="C89" s="624" t="n"/>
      <c r="E89" s="628" t="n"/>
      <c r="F89" s="623" t="n"/>
      <c r="G89" s="624" t="n"/>
    </row>
    <row r="90" ht="18" customHeight="1" s="562">
      <c r="A90" s="622" t="n"/>
      <c r="B90" s="623" t="n"/>
      <c r="C90" s="624" t="n"/>
      <c r="E90" s="622" t="n"/>
      <c r="F90" s="623" t="n"/>
      <c r="G90" s="624" t="n"/>
    </row>
    <row r="91" ht="18" customHeight="1" s="562">
      <c r="A91" s="622" t="n"/>
      <c r="B91" s="623" t="n"/>
      <c r="C91" s="624" t="n"/>
      <c r="E91" s="622" t="n"/>
      <c r="F91" s="623" t="n"/>
      <c r="G91" s="624" t="n"/>
    </row>
    <row r="92" ht="18" customHeight="1" s="562">
      <c r="A92" s="622" t="n"/>
      <c r="B92" s="623" t="n"/>
      <c r="C92" s="624" t="n"/>
      <c r="E92" s="622" t="n"/>
      <c r="F92" s="623" t="n"/>
      <c r="G92" s="624" t="n"/>
    </row>
    <row r="93" ht="18" customHeight="1" s="562">
      <c r="A93" s="622" t="n"/>
      <c r="B93" s="623" t="n"/>
      <c r="C93" s="624" t="n"/>
      <c r="E93" s="622" t="n"/>
      <c r="F93" s="623" t="n"/>
      <c r="G93" s="624" t="n"/>
    </row>
    <row r="94" ht="18" customHeight="1" s="562">
      <c r="A94" s="622" t="n"/>
      <c r="B94" s="623" t="n"/>
      <c r="C94" s="624" t="n"/>
      <c r="E94" s="622" t="n"/>
      <c r="F94" s="623" t="n"/>
      <c r="G94" s="624" t="n"/>
    </row>
    <row r="95" ht="18" customHeight="1" s="562">
      <c r="A95" s="622" t="n"/>
      <c r="B95" s="623" t="n"/>
      <c r="C95" s="624" t="n"/>
      <c r="E95" s="622" t="n"/>
      <c r="F95" s="623" t="n"/>
      <c r="G95" s="624" t="n"/>
    </row>
    <row r="96" ht="18" customHeight="1" s="562">
      <c r="A96" s="622" t="n"/>
      <c r="B96" s="623" t="n"/>
      <c r="C96" s="624" t="n"/>
      <c r="E96" s="622" t="n"/>
      <c r="F96" s="623" t="n"/>
      <c r="G96" s="624" t="n"/>
    </row>
    <row r="97" ht="18.75" customHeight="1" s="562">
      <c r="A97" s="622" t="n"/>
      <c r="B97" s="623" t="n"/>
      <c r="C97" s="624" t="n"/>
      <c r="E97" s="622" t="n"/>
      <c r="F97" s="623" t="n"/>
      <c r="G97" s="624" t="n"/>
    </row>
    <row r="98" ht="18.75" customHeight="1" s="562">
      <c r="A98" s="910" t="inlineStr">
        <is>
          <t xml:space="preserve">Total Expense </t>
        </is>
      </c>
      <c r="B98" s="911" t="n"/>
      <c r="C98" s="645" t="n"/>
      <c r="E98" s="910" t="inlineStr">
        <is>
          <t xml:space="preserve">Total Expense </t>
        </is>
      </c>
      <c r="F98" s="911" t="n"/>
      <c r="G98" s="645" t="n"/>
    </row>
    <row r="99" ht="18.75" customHeight="1" s="562">
      <c r="A99" s="646" t="inlineStr">
        <is>
          <t xml:space="preserve">Income - Expense </t>
        </is>
      </c>
      <c r="B99" s="637" t="n"/>
      <c r="C99" s="773" t="n"/>
      <c r="E99" s="646" t="inlineStr">
        <is>
          <t xml:space="preserve">Income - Expense </t>
        </is>
      </c>
      <c r="F99" s="637" t="n"/>
      <c r="G99" s="773" t="n"/>
    </row>
    <row r="100" ht="18" customHeight="1" s="562">
      <c r="E100" s="771" t="n"/>
      <c r="F100" s="771" t="n"/>
      <c r="G100" s="768" t="n"/>
    </row>
    <row r="104" ht="16.5" customHeight="1" s="562"/>
    <row r="105" ht="24.75" customHeight="1" s="562">
      <c r="A105" s="648" t="inlineStr">
        <is>
          <t xml:space="preserve">Total from Clients </t>
        </is>
      </c>
      <c r="B105" s="649">
        <f>SUM(C8+G8+K8+O8+S8+C34+G34+G34+K34+O34+S34+C59+G59+K59+C84+G84+O59+S59)</f>
        <v/>
      </c>
    </row>
  </sheetData>
  <mergeCells count="73">
    <mergeCell ref="A24:B24"/>
    <mergeCell ref="E24:F24"/>
    <mergeCell ref="E60:G60"/>
    <mergeCell ref="A49:B49"/>
    <mergeCell ref="Q35:S35"/>
    <mergeCell ref="I49:J49"/>
    <mergeCell ref="Q26:S26"/>
    <mergeCell ref="E23:F23"/>
    <mergeCell ref="E9:G9"/>
    <mergeCell ref="Q24:R24"/>
    <mergeCell ref="A27:C27"/>
    <mergeCell ref="M49:N49"/>
    <mergeCell ref="Q60:S60"/>
    <mergeCell ref="Q1:S1"/>
    <mergeCell ref="A26:C26"/>
    <mergeCell ref="A2:C2"/>
    <mergeCell ref="E77:G77"/>
    <mergeCell ref="E2:G2"/>
    <mergeCell ref="A76:C76"/>
    <mergeCell ref="M27:O27"/>
    <mergeCell ref="A85:C85"/>
    <mergeCell ref="E27:G27"/>
    <mergeCell ref="I52:K52"/>
    <mergeCell ref="Q27:S27"/>
    <mergeCell ref="M60:O60"/>
    <mergeCell ref="Q9:S9"/>
    <mergeCell ref="I1:K1"/>
    <mergeCell ref="A99:B99"/>
    <mergeCell ref="M2:O2"/>
    <mergeCell ref="E26:G26"/>
    <mergeCell ref="I35:K35"/>
    <mergeCell ref="M26:O26"/>
    <mergeCell ref="A74:B74"/>
    <mergeCell ref="A35:C35"/>
    <mergeCell ref="E76:G76"/>
    <mergeCell ref="E74:F74"/>
    <mergeCell ref="Q2:S2"/>
    <mergeCell ref="I51:K51"/>
    <mergeCell ref="A52:C52"/>
    <mergeCell ref="M74:N74"/>
    <mergeCell ref="E85:G85"/>
    <mergeCell ref="E1:G1"/>
    <mergeCell ref="E99:F99"/>
    <mergeCell ref="I24:J24"/>
    <mergeCell ref="I60:K60"/>
    <mergeCell ref="I9:K9"/>
    <mergeCell ref="E49:F49"/>
    <mergeCell ref="A9:C9"/>
    <mergeCell ref="I23:J23"/>
    <mergeCell ref="Q74:R74"/>
    <mergeCell ref="A23:B23"/>
    <mergeCell ref="Q49:R49"/>
    <mergeCell ref="A77:C77"/>
    <mergeCell ref="A51:C51"/>
    <mergeCell ref="M24:N24"/>
    <mergeCell ref="A60:C60"/>
    <mergeCell ref="I73:J73"/>
    <mergeCell ref="I2:K2"/>
    <mergeCell ref="E52:G52"/>
    <mergeCell ref="A1:C1"/>
    <mergeCell ref="M23:N23"/>
    <mergeCell ref="M9:O9"/>
    <mergeCell ref="I27:K27"/>
    <mergeCell ref="M52:O52"/>
    <mergeCell ref="Q52:S52"/>
    <mergeCell ref="M1:O1"/>
    <mergeCell ref="E35:G35"/>
    <mergeCell ref="I26:K26"/>
    <mergeCell ref="M35:O35"/>
    <mergeCell ref="M51:O51"/>
    <mergeCell ref="E51:G51"/>
    <mergeCell ref="I74:J74"/>
    <mergeCell ref="Q51:S5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R28" activeCellId="0" sqref="R28"/>
    </sheetView>
  </sheetViews>
  <sheetFormatPr baseColWidth="8" defaultColWidth="10.4921875" defaultRowHeight="15.75" customHeight="0" zeroHeight="0" outlineLevelRow="0"/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Rudi Le Roux</dc:creator>
  <dc:language xmlns:dc="http://purl.org/dc/elements/1.1/">en-US</dc:language>
  <dcterms:created xmlns:dcterms="http://purl.org/dc/terms/" xmlns:xsi="http://www.w3.org/2001/XMLSchema-instance" xsi:type="dcterms:W3CDTF">2025-11-04T09:05:23Z</dcterms:created>
  <dcterms:modified xmlns:dcterms="http://purl.org/dc/terms/" xmlns:xsi="http://www.w3.org/2001/XMLSchema-instance" xsi:type="dcterms:W3CDTF">2026-04-09T12:30:31Z</dcterms:modified>
  <cp:lastModifiedBy>Andre Lessing</cp:lastModifiedBy>
  <cp:revision>0</cp:revision>
</cp:coreProperties>
</file>